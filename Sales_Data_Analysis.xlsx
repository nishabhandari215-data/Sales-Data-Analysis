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xr:revisionPtr revIDLastSave="0" documentId="8_{3F27E842-554A-4038-A902-765A0DDDD36C}" xr6:coauthVersionLast="47" xr6:coauthVersionMax="47" xr10:uidLastSave="{00000000-0000-0000-0000-000000000000}"/>
  <bookViews>
    <workbookView xWindow="0" yWindow="0" windowWidth="0" windowHeight="0" firstSheet="4" xr2:uid="{00000000-000D-0000-FFFF-FFFF00000000}"/>
  </bookViews>
  <sheets>
    <sheet name="Raw_Data" sheetId="1" r:id="rId1"/>
    <sheet name="Analysis" sheetId="2" r:id="rId2"/>
    <sheet name="Pivot_Analysis" sheetId="3" r:id="rId3"/>
    <sheet name="Business Insights" sheetId="4" r:id="rId4"/>
    <sheet name="Dasboard" sheetId="5" r:id="rId5"/>
  </sheets>
  <definedNames>
    <definedName name="_xlnm._FilterDatabase" localSheetId="0" hidden="1">Raw_Data!$A$1:$N$1</definedName>
    <definedName name="Slicer_Customer_Segment">#N/A</definedName>
    <definedName name="Slicer_Product">#N/A</definedName>
    <definedName name="Slicer_State1">#N/A</definedName>
  </definedNames>
  <calcPr calcId="191028"/>
  <pivotCaches>
    <pivotCache cacheId="108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5" l="1"/>
  <c r="D22" i="5"/>
  <c r="L16" i="5"/>
  <c r="H16" i="5"/>
  <c r="D16" i="5"/>
  <c r="B36" i="2" a="1"/>
  <c r="B36" i="2"/>
  <c r="B37" i="2" a="1"/>
  <c r="B37" i="2"/>
  <c r="B35" i="2" a="1"/>
  <c r="B35" i="2"/>
  <c r="B29" i="2"/>
  <c r="B30" i="2"/>
  <c r="B28" i="2"/>
  <c r="B22" i="2"/>
  <c r="B21" i="2"/>
  <c r="B20" i="2"/>
  <c r="E44" i="2"/>
  <c r="E43" i="2"/>
  <c r="E42" i="2"/>
  <c r="F36" i="2"/>
  <c r="F35" i="2"/>
  <c r="E29" i="2"/>
  <c r="E28" i="2"/>
  <c r="E22" i="2"/>
  <c r="E17" i="2"/>
  <c r="E11" i="2"/>
  <c r="E5" i="2"/>
  <c r="B12" i="2"/>
  <c r="B10" i="2"/>
  <c r="B8" i="2"/>
  <c r="B4" i="2"/>
  <c r="B2" i="2"/>
  <c r="B6" i="2" s="1"/>
  <c r="B14" i="2" s="1"/>
  <c r="L2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<sst xmlns="http://schemas.openxmlformats.org/spreadsheetml/2006/main" count="1741" uniqueCount="532">
  <si>
    <t>Order_ID</t>
  </si>
  <si>
    <t>Order_Date</t>
  </si>
  <si>
    <t>Customer_ID</t>
  </si>
  <si>
    <t>State</t>
  </si>
  <si>
    <t>Customer_Segment</t>
  </si>
  <si>
    <t>Product</t>
  </si>
  <si>
    <t>Category</t>
  </si>
  <si>
    <t>Quantity</t>
  </si>
  <si>
    <t>Unit_Price_INR</t>
  </si>
  <si>
    <t>Discount</t>
  </si>
  <si>
    <t>Sales_INR</t>
  </si>
  <si>
    <t>Cost_INR</t>
  </si>
  <si>
    <t>Profit_INR</t>
  </si>
  <si>
    <t>Payment_Mode</t>
  </si>
  <si>
    <t>ORD1002</t>
  </si>
  <si>
    <t>2025-02-22</t>
  </si>
  <si>
    <t>CUST170</t>
  </si>
  <si>
    <t>Haryana</t>
  </si>
  <si>
    <t>Small Business</t>
  </si>
  <si>
    <t>Monitor</t>
  </si>
  <si>
    <t>Electronics</t>
  </si>
  <si>
    <t>Net Banking</t>
  </si>
  <si>
    <t>ORD1003</t>
  </si>
  <si>
    <t>2025-11-05</t>
  </si>
  <si>
    <t>CUST104</t>
  </si>
  <si>
    <t>West Bengal</t>
  </si>
  <si>
    <t>Consumer</t>
  </si>
  <si>
    <t>Laptop</t>
  </si>
  <si>
    <t>Cash</t>
  </si>
  <si>
    <t>ORD1004</t>
  </si>
  <si>
    <t>2025-01-04</t>
  </si>
  <si>
    <t>CUST121</t>
  </si>
  <si>
    <t>Rajasthan</t>
  </si>
  <si>
    <t>Corporate</t>
  </si>
  <si>
    <t>Tablet</t>
  </si>
  <si>
    <t>Debit Card</t>
  </si>
  <si>
    <t>ORD1005</t>
  </si>
  <si>
    <t>2025-02-19</t>
  </si>
  <si>
    <t>CUST146</t>
  </si>
  <si>
    <t>Gujarat</t>
  </si>
  <si>
    <t>Keyboard</t>
  </si>
  <si>
    <t>Accessories</t>
  </si>
  <si>
    <t>ORD1006</t>
  </si>
  <si>
    <t>2025-07-13</t>
  </si>
  <si>
    <t>CUST111</t>
  </si>
  <si>
    <t>ORD1007</t>
  </si>
  <si>
    <t>2025-04-27</t>
  </si>
  <si>
    <t>CUST138</t>
  </si>
  <si>
    <t>Printer</t>
  </si>
  <si>
    <t>Office Equipment</t>
  </si>
  <si>
    <t>UPI</t>
  </si>
  <si>
    <t>ORD1008</t>
  </si>
  <si>
    <t>2025-07-01</t>
  </si>
  <si>
    <t>CUST127</t>
  </si>
  <si>
    <t>Karnataka</t>
  </si>
  <si>
    <t>ORD1009</t>
  </si>
  <si>
    <t>2025-05-19</t>
  </si>
  <si>
    <t>CUST172</t>
  </si>
  <si>
    <t>Maharashtra</t>
  </si>
  <si>
    <t>ORD1010</t>
  </si>
  <si>
    <t>2025-02-03</t>
  </si>
  <si>
    <t>CUST128</t>
  </si>
  <si>
    <t>Tamil Nadu</t>
  </si>
  <si>
    <t>ORD1011</t>
  </si>
  <si>
    <t>2025-11-26</t>
  </si>
  <si>
    <t>CUST159</t>
  </si>
  <si>
    <t>Uttar Pradesh</t>
  </si>
  <si>
    <t>Mouse</t>
  </si>
  <si>
    <t>Credit Card</t>
  </si>
  <si>
    <t>ORD1012</t>
  </si>
  <si>
    <t>2025-08-08</t>
  </si>
  <si>
    <t>CUST175</t>
  </si>
  <si>
    <t>ORD1013</t>
  </si>
  <si>
    <t>2025-02-26</t>
  </si>
  <si>
    <t>CUST120</t>
  </si>
  <si>
    <t>ORD1014</t>
  </si>
  <si>
    <t>2025-10-11</t>
  </si>
  <si>
    <t>CUST102</t>
  </si>
  <si>
    <t>ORD1015</t>
  </si>
  <si>
    <t>2025-03-22</t>
  </si>
  <si>
    <t>Delhi</t>
  </si>
  <si>
    <t>Headphones</t>
  </si>
  <si>
    <t>ORD1016</t>
  </si>
  <si>
    <t>2025-09-17</t>
  </si>
  <si>
    <t>CUST178</t>
  </si>
  <si>
    <t>ORD1017</t>
  </si>
  <si>
    <t>2025-09-08</t>
  </si>
  <si>
    <t>CUST103</t>
  </si>
  <si>
    <t>ORD1018</t>
  </si>
  <si>
    <t>2025-09-06</t>
  </si>
  <si>
    <t>CUST109</t>
  </si>
  <si>
    <t>ORD1019</t>
  </si>
  <si>
    <t>2025-11-07</t>
  </si>
  <si>
    <t>CUST155</t>
  </si>
  <si>
    <t>Webcam</t>
  </si>
  <si>
    <t>ORD1020</t>
  </si>
  <si>
    <t>2025-08-20</t>
  </si>
  <si>
    <t>CUST116</t>
  </si>
  <si>
    <t>ORD1021</t>
  </si>
  <si>
    <t>CUST110</t>
  </si>
  <si>
    <t>ORD1022</t>
  </si>
  <si>
    <t>ORD1023</t>
  </si>
  <si>
    <t>CUST156</t>
  </si>
  <si>
    <t>ORD1024</t>
  </si>
  <si>
    <t>2025-06-23</t>
  </si>
  <si>
    <t>CUST114</t>
  </si>
  <si>
    <t>ORD1025</t>
  </si>
  <si>
    <t>2025-05-08</t>
  </si>
  <si>
    <t>Punjab</t>
  </si>
  <si>
    <t>ORD1026</t>
  </si>
  <si>
    <t>2025-05-02</t>
  </si>
  <si>
    <t>CUST122</t>
  </si>
  <si>
    <t>ORD1027</t>
  </si>
  <si>
    <t>2025-07-19</t>
  </si>
  <si>
    <t>CUST134</t>
  </si>
  <si>
    <t>ORD1028</t>
  </si>
  <si>
    <t>2025-01-30</t>
  </si>
  <si>
    <t>ORD1029</t>
  </si>
  <si>
    <t>2025-09-29</t>
  </si>
  <si>
    <t>ORD1030</t>
  </si>
  <si>
    <t>2025-05-01</t>
  </si>
  <si>
    <t>CUST152</t>
  </si>
  <si>
    <t>ORD1031</t>
  </si>
  <si>
    <t>2025-10-17</t>
  </si>
  <si>
    <t>CUST167</t>
  </si>
  <si>
    <t>ORD1032</t>
  </si>
  <si>
    <t>2025-11-27</t>
  </si>
  <si>
    <t>CUST139</t>
  </si>
  <si>
    <t>ORD1033</t>
  </si>
  <si>
    <t>2025-04-20</t>
  </si>
  <si>
    <t>CUST165</t>
  </si>
  <si>
    <t>ORD1034</t>
  </si>
  <si>
    <t>2025-10-06</t>
  </si>
  <si>
    <t>ORD1035</t>
  </si>
  <si>
    <t>2025-02-23</t>
  </si>
  <si>
    <t>CUST118</t>
  </si>
  <si>
    <t>ORD1036</t>
  </si>
  <si>
    <t>2025-04-15</t>
  </si>
  <si>
    <t>ORD1037</t>
  </si>
  <si>
    <t>2025-06-20</t>
  </si>
  <si>
    <t>CUST117</t>
  </si>
  <si>
    <t>ORD1038</t>
  </si>
  <si>
    <t>2025-12-20</t>
  </si>
  <si>
    <t>ORD1039</t>
  </si>
  <si>
    <t>2025-01-21</t>
  </si>
  <si>
    <t>ORD1040</t>
  </si>
  <si>
    <t>2025-03-21</t>
  </si>
  <si>
    <t>CUST131</t>
  </si>
  <si>
    <t>ORD1041</t>
  </si>
  <si>
    <t>CUST135</t>
  </si>
  <si>
    <t>ORD1042</t>
  </si>
  <si>
    <t>2025-08-24</t>
  </si>
  <si>
    <t>CUST145</t>
  </si>
  <si>
    <t>ORD1043</t>
  </si>
  <si>
    <t>2025-02-05</t>
  </si>
  <si>
    <t>CUST136</t>
  </si>
  <si>
    <t>ORD1044</t>
  </si>
  <si>
    <t>2025-03-01</t>
  </si>
  <si>
    <t>ORD1045</t>
  </si>
  <si>
    <t>2025-06-10</t>
  </si>
  <si>
    <t>ORD1046</t>
  </si>
  <si>
    <t>2025-08-12</t>
  </si>
  <si>
    <t>CUST101</t>
  </si>
  <si>
    <t>ORD1047</t>
  </si>
  <si>
    <t>2025-12-06</t>
  </si>
  <si>
    <t>ORD1048</t>
  </si>
  <si>
    <t>2025-04-09</t>
  </si>
  <si>
    <t>CUST154</t>
  </si>
  <si>
    <t>ORD1049</t>
  </si>
  <si>
    <t>2025-04-18</t>
  </si>
  <si>
    <t>ORD1050</t>
  </si>
  <si>
    <t>2025-03-28</t>
  </si>
  <si>
    <t>ORD1051</t>
  </si>
  <si>
    <t>2025-04-12</t>
  </si>
  <si>
    <t>CUST119</t>
  </si>
  <si>
    <t>ORD1052</t>
  </si>
  <si>
    <t>2025-10-22</t>
  </si>
  <si>
    <t>CUST125</t>
  </si>
  <si>
    <t>ORD1053</t>
  </si>
  <si>
    <t>2025-04-23</t>
  </si>
  <si>
    <t>CUST123</t>
  </si>
  <si>
    <t>ORD1054</t>
  </si>
  <si>
    <t>2025-12-08</t>
  </si>
  <si>
    <t>CUST168</t>
  </si>
  <si>
    <t>ORD1055</t>
  </si>
  <si>
    <t>2025-09-01</t>
  </si>
  <si>
    <t>CUST158</t>
  </si>
  <si>
    <t>ORD1056</t>
  </si>
  <si>
    <t>2025-05-27</t>
  </si>
  <si>
    <t>ORD1057</t>
  </si>
  <si>
    <t>2025-03-20</t>
  </si>
  <si>
    <t>ORD1058</t>
  </si>
  <si>
    <t>2025-08-04</t>
  </si>
  <si>
    <t>CUST150</t>
  </si>
  <si>
    <t>ORD1059</t>
  </si>
  <si>
    <t>ORD1060</t>
  </si>
  <si>
    <t>2025-01-15</t>
  </si>
  <si>
    <t>ORD1061</t>
  </si>
  <si>
    <t>2025-10-31</t>
  </si>
  <si>
    <t>CUST173</t>
  </si>
  <si>
    <t>ORD1062</t>
  </si>
  <si>
    <t>2025-06-17</t>
  </si>
  <si>
    <t>ORD1063</t>
  </si>
  <si>
    <t>2025-08-29</t>
  </si>
  <si>
    <t>ORD1064</t>
  </si>
  <si>
    <t>2025-05-07</t>
  </si>
  <si>
    <t>CUST126</t>
  </si>
  <si>
    <t>ORD1065</t>
  </si>
  <si>
    <t>2025-04-22</t>
  </si>
  <si>
    <t>CUST160</t>
  </si>
  <si>
    <t>ORD1066</t>
  </si>
  <si>
    <t>2025-01-14</t>
  </si>
  <si>
    <t>CUST140</t>
  </si>
  <si>
    <t>ORD1067</t>
  </si>
  <si>
    <t>2025-11-18</t>
  </si>
  <si>
    <t>CUST132</t>
  </si>
  <si>
    <t>ORD1068</t>
  </si>
  <si>
    <t>CUST148</t>
  </si>
  <si>
    <t>ORD1069</t>
  </si>
  <si>
    <t>2025-07-05</t>
  </si>
  <si>
    <t>ORD1070</t>
  </si>
  <si>
    <t>ORD1071</t>
  </si>
  <si>
    <t>2025-10-19</t>
  </si>
  <si>
    <t>CUST179</t>
  </si>
  <si>
    <t>ORD1072</t>
  </si>
  <si>
    <t>2025-05-13</t>
  </si>
  <si>
    <t>CUST144</t>
  </si>
  <si>
    <t>ORD1073</t>
  </si>
  <si>
    <t>2025-07-28</t>
  </si>
  <si>
    <t>CUST163</t>
  </si>
  <si>
    <t>ORD1074</t>
  </si>
  <si>
    <t>2025-07-27</t>
  </si>
  <si>
    <t>ORD1075</t>
  </si>
  <si>
    <t>2025-10-09</t>
  </si>
  <si>
    <t>CUST143</t>
  </si>
  <si>
    <t>ORD1076</t>
  </si>
  <si>
    <t>CUST141</t>
  </si>
  <si>
    <t>ORD1077</t>
  </si>
  <si>
    <t>2025-10-29</t>
  </si>
  <si>
    <t>ORD1078</t>
  </si>
  <si>
    <t>2025-01-08</t>
  </si>
  <si>
    <t>CUST169</t>
  </si>
  <si>
    <t>ORD1079</t>
  </si>
  <si>
    <t>2025-09-09</t>
  </si>
  <si>
    <t>ORD1080</t>
  </si>
  <si>
    <t>2025-01-27</t>
  </si>
  <si>
    <t>CUST133</t>
  </si>
  <si>
    <t>ORD1081</t>
  </si>
  <si>
    <t>2025-10-16</t>
  </si>
  <si>
    <t>ORD1082</t>
  </si>
  <si>
    <t>2025-07-14</t>
  </si>
  <si>
    <t>ORD1083</t>
  </si>
  <si>
    <t>2025-02-20</t>
  </si>
  <si>
    <t>ORD1084</t>
  </si>
  <si>
    <t>2025-07-29</t>
  </si>
  <si>
    <t>ORD1085</t>
  </si>
  <si>
    <t>2025-08-21</t>
  </si>
  <si>
    <t>ORD1086</t>
  </si>
  <si>
    <t>2025-05-17</t>
  </si>
  <si>
    <t>ORD1087</t>
  </si>
  <si>
    <t>2025-08-28</t>
  </si>
  <si>
    <t>ORD1088</t>
  </si>
  <si>
    <t>2025-06-15</t>
  </si>
  <si>
    <t>ORD1089</t>
  </si>
  <si>
    <t>2025-12-11</t>
  </si>
  <si>
    <t>ORD1090</t>
  </si>
  <si>
    <t>2025-10-27</t>
  </si>
  <si>
    <t>ORD1091</t>
  </si>
  <si>
    <t>2025-03-24</t>
  </si>
  <si>
    <t>ORD1092</t>
  </si>
  <si>
    <t>2025-06-11</t>
  </si>
  <si>
    <t>ORD1093</t>
  </si>
  <si>
    <t>2025-04-07</t>
  </si>
  <si>
    <t>ORD1094</t>
  </si>
  <si>
    <t>2025-05-28</t>
  </si>
  <si>
    <t>CUST157</t>
  </si>
  <si>
    <t>ORD1095</t>
  </si>
  <si>
    <t>2025-10-10</t>
  </si>
  <si>
    <t>CUST153</t>
  </si>
  <si>
    <t>ORD1096</t>
  </si>
  <si>
    <t>2025-05-30</t>
  </si>
  <si>
    <t>CUST166</t>
  </si>
  <si>
    <t>ORD1097</t>
  </si>
  <si>
    <t>2025-11-03</t>
  </si>
  <si>
    <t>ORD1098</t>
  </si>
  <si>
    <t>2025-05-25</t>
  </si>
  <si>
    <t>ORD1099</t>
  </si>
  <si>
    <t>ORD1100</t>
  </si>
  <si>
    <t>2025-07-30</t>
  </si>
  <si>
    <t>CUST106</t>
  </si>
  <si>
    <t>ORD1101</t>
  </si>
  <si>
    <t>2025-03-06</t>
  </si>
  <si>
    <t>ORD1102</t>
  </si>
  <si>
    <t>2025-03-15</t>
  </si>
  <si>
    <t>ORD1103</t>
  </si>
  <si>
    <t>2025-06-18</t>
  </si>
  <si>
    <t>ORD1104</t>
  </si>
  <si>
    <t>CUST130</t>
  </si>
  <si>
    <t>ORD1105</t>
  </si>
  <si>
    <t>2025-01-24</t>
  </si>
  <si>
    <t>CUST142</t>
  </si>
  <si>
    <t>ORD1106</t>
  </si>
  <si>
    <t>CUST124</t>
  </si>
  <si>
    <t>ORD1107</t>
  </si>
  <si>
    <t>ORD1108</t>
  </si>
  <si>
    <t>2025-12-13</t>
  </si>
  <si>
    <t>ORD1109</t>
  </si>
  <si>
    <t>2025-08-22</t>
  </si>
  <si>
    <t>ORD1110</t>
  </si>
  <si>
    <t>2025-12-25</t>
  </si>
  <si>
    <t>ORD1111</t>
  </si>
  <si>
    <t>2025-09-12</t>
  </si>
  <si>
    <t>CUST137</t>
  </si>
  <si>
    <t>ORD1112</t>
  </si>
  <si>
    <t>2025-12-04</t>
  </si>
  <si>
    <t>ORD1113</t>
  </si>
  <si>
    <t>2025-03-09</t>
  </si>
  <si>
    <t>CUST112</t>
  </si>
  <si>
    <t>ORD1114</t>
  </si>
  <si>
    <t>2025-05-20</t>
  </si>
  <si>
    <t>ORD1115</t>
  </si>
  <si>
    <t>2025-03-14</t>
  </si>
  <si>
    <t>CUST129</t>
  </si>
  <si>
    <t>ORD1116</t>
  </si>
  <si>
    <t>2025-03-05</t>
  </si>
  <si>
    <t>ORD1117</t>
  </si>
  <si>
    <t>2025-08-30</t>
  </si>
  <si>
    <t>ORD1118</t>
  </si>
  <si>
    <t>2025-06-04</t>
  </si>
  <si>
    <t>ORD1119</t>
  </si>
  <si>
    <t>2025-10-03</t>
  </si>
  <si>
    <t>ORD1120</t>
  </si>
  <si>
    <t>ORD1121</t>
  </si>
  <si>
    <t>CUST113</t>
  </si>
  <si>
    <t>ORD1122</t>
  </si>
  <si>
    <t>ORD1123</t>
  </si>
  <si>
    <t>ORD1124</t>
  </si>
  <si>
    <t>2025-11-02</t>
  </si>
  <si>
    <t>ORD1125</t>
  </si>
  <si>
    <t>ORD1126</t>
  </si>
  <si>
    <t>ORD1127</t>
  </si>
  <si>
    <t>2025-04-24</t>
  </si>
  <si>
    <t>ORD1128</t>
  </si>
  <si>
    <t>2025-07-25</t>
  </si>
  <si>
    <t>ORD1129</t>
  </si>
  <si>
    <t>2025-05-21</t>
  </si>
  <si>
    <t>CUST180</t>
  </si>
  <si>
    <t>ORD1130</t>
  </si>
  <si>
    <t>2025-11-06</t>
  </si>
  <si>
    <t>ORD1131</t>
  </si>
  <si>
    <t>ORD1132</t>
  </si>
  <si>
    <t>CUST161</t>
  </si>
  <si>
    <t>ORD1133</t>
  </si>
  <si>
    <t>2025-10-12</t>
  </si>
  <si>
    <t>CUST108</t>
  </si>
  <si>
    <t>ORD1134</t>
  </si>
  <si>
    <t>2025-12-07</t>
  </si>
  <si>
    <t>ORD1135</t>
  </si>
  <si>
    <t>2025-09-04</t>
  </si>
  <si>
    <t>ORD1136</t>
  </si>
  <si>
    <t>2025-10-15</t>
  </si>
  <si>
    <t>ORD1137</t>
  </si>
  <si>
    <t>2025-12-26</t>
  </si>
  <si>
    <t>ORD1138</t>
  </si>
  <si>
    <t>2025-11-21</t>
  </si>
  <si>
    <t>ORD1139</t>
  </si>
  <si>
    <t>2025-07-09</t>
  </si>
  <si>
    <t>ORD1140</t>
  </si>
  <si>
    <t>2025-01-26</t>
  </si>
  <si>
    <t>ORD1141</t>
  </si>
  <si>
    <t>2025-09-20</t>
  </si>
  <si>
    <t>CUST115</t>
  </si>
  <si>
    <t>ORD1142</t>
  </si>
  <si>
    <t>2025-06-07</t>
  </si>
  <si>
    <t>ORD1143</t>
  </si>
  <si>
    <t>2025-03-12</t>
  </si>
  <si>
    <t>ORD1144</t>
  </si>
  <si>
    <t>2025-09-30</t>
  </si>
  <si>
    <t>ORD1145</t>
  </si>
  <si>
    <t>2025-02-09</t>
  </si>
  <si>
    <t>ORD1146</t>
  </si>
  <si>
    <t>2025-01-11</t>
  </si>
  <si>
    <t>ORD1147</t>
  </si>
  <si>
    <t>ORD1148</t>
  </si>
  <si>
    <t>ORD1149</t>
  </si>
  <si>
    <t>ORD1150</t>
  </si>
  <si>
    <t>2025-12-02</t>
  </si>
  <si>
    <t>ORD1151</t>
  </si>
  <si>
    <t>ORD1152</t>
  </si>
  <si>
    <t>2025-06-05</t>
  </si>
  <si>
    <t>ORD1153</t>
  </si>
  <si>
    <t>2025-07-08</t>
  </si>
  <si>
    <t>ORD1154</t>
  </si>
  <si>
    <t>2025-10-20</t>
  </si>
  <si>
    <t>ORD1155</t>
  </si>
  <si>
    <t>2025-06-25</t>
  </si>
  <si>
    <t>ORD1156</t>
  </si>
  <si>
    <t>2025-11-09</t>
  </si>
  <si>
    <t>ORD1157</t>
  </si>
  <si>
    <t>2025-11-28</t>
  </si>
  <si>
    <t>ORD1158</t>
  </si>
  <si>
    <t>2025-10-26</t>
  </si>
  <si>
    <t>ORD1159</t>
  </si>
  <si>
    <t>ORD1160</t>
  </si>
  <si>
    <t>ORD1161</t>
  </si>
  <si>
    <t>2025-02-21</t>
  </si>
  <si>
    <t>ORD1162</t>
  </si>
  <si>
    <t>ORD1163</t>
  </si>
  <si>
    <t>ORD1164</t>
  </si>
  <si>
    <t>ORD1165</t>
  </si>
  <si>
    <t>2025-08-03</t>
  </si>
  <si>
    <t>ORD1166</t>
  </si>
  <si>
    <t>ORD1167</t>
  </si>
  <si>
    <t>2025-02-16</t>
  </si>
  <si>
    <t>ORD1168</t>
  </si>
  <si>
    <t>2025-02-11</t>
  </si>
  <si>
    <t>ORD1169</t>
  </si>
  <si>
    <t>ORD1170</t>
  </si>
  <si>
    <t>2025-03-18</t>
  </si>
  <si>
    <t>CUST171</t>
  </si>
  <si>
    <t>ORD1171</t>
  </si>
  <si>
    <t>2025-01-25</t>
  </si>
  <si>
    <t>ORD1172</t>
  </si>
  <si>
    <t>2025-01-09</t>
  </si>
  <si>
    <t>ORD1173</t>
  </si>
  <si>
    <t>2025-08-02</t>
  </si>
  <si>
    <t>ORD1174</t>
  </si>
  <si>
    <t>ORD1175</t>
  </si>
  <si>
    <t>2025-12-03</t>
  </si>
  <si>
    <t>ORD1176</t>
  </si>
  <si>
    <t>2025-03-31</t>
  </si>
  <si>
    <t>ORD1177</t>
  </si>
  <si>
    <t>2025-01-23</t>
  </si>
  <si>
    <t>ORD1178</t>
  </si>
  <si>
    <t>ORD1179</t>
  </si>
  <si>
    <t>2025-07-24</t>
  </si>
  <si>
    <t>ORD1180</t>
  </si>
  <si>
    <t>2025-08-06</t>
  </si>
  <si>
    <t>ORD1181</t>
  </si>
  <si>
    <t>2025-06-01</t>
  </si>
  <si>
    <t>ORD1182</t>
  </si>
  <si>
    <t>2025-06-30</t>
  </si>
  <si>
    <t>ORD1183</t>
  </si>
  <si>
    <t>2025-12-14</t>
  </si>
  <si>
    <t>ORD1184</t>
  </si>
  <si>
    <t>CUST147</t>
  </si>
  <si>
    <t>ORD1185</t>
  </si>
  <si>
    <t>2025-07-10</t>
  </si>
  <si>
    <t>ORD1186</t>
  </si>
  <si>
    <t>2025-02-28</t>
  </si>
  <si>
    <t>ORD1187</t>
  </si>
  <si>
    <t>2025-12-27</t>
  </si>
  <si>
    <t>ORD1188</t>
  </si>
  <si>
    <t>ORD1189</t>
  </si>
  <si>
    <t>ORD1190</t>
  </si>
  <si>
    <t>ORD1191</t>
  </si>
  <si>
    <t>2025-07-23</t>
  </si>
  <si>
    <t>CUST162</t>
  </si>
  <si>
    <t>ORD1192</t>
  </si>
  <si>
    <t>2025-12-15</t>
  </si>
  <si>
    <t>ORD1193</t>
  </si>
  <si>
    <t>2025-09-23</t>
  </si>
  <si>
    <t>ORD1194</t>
  </si>
  <si>
    <t>ORD1195</t>
  </si>
  <si>
    <t>CUST176</t>
  </si>
  <si>
    <t>ORD1196</t>
  </si>
  <si>
    <t>2025-11-25</t>
  </si>
  <si>
    <t>CUST174</t>
  </si>
  <si>
    <t>ORD1197</t>
  </si>
  <si>
    <t>2025-10-07</t>
  </si>
  <si>
    <t>ORD1198</t>
  </si>
  <si>
    <t>ORD1199</t>
  </si>
  <si>
    <t>2025-06-13</t>
  </si>
  <si>
    <t>ORD1200</t>
  </si>
  <si>
    <t>2025-08-19</t>
  </si>
  <si>
    <t>ORD1201</t>
  </si>
  <si>
    <t>2025-03-23</t>
  </si>
  <si>
    <t>Metric</t>
  </si>
  <si>
    <t>Values</t>
  </si>
  <si>
    <t>Total Sales</t>
  </si>
  <si>
    <t>Find the Product for a given Order ID using XLOOKUP</t>
  </si>
  <si>
    <t>Total Costs</t>
  </si>
  <si>
    <t>Order ID</t>
  </si>
  <si>
    <t>Total Profit</t>
  </si>
  <si>
    <t>Total Quantity</t>
  </si>
  <si>
    <t>Find the Customer Segment for a given Customer ID using XLOOKUP</t>
  </si>
  <si>
    <t>Total Orders</t>
  </si>
  <si>
    <t>Customer ID</t>
  </si>
  <si>
    <t>Cus. Segment</t>
  </si>
  <si>
    <t>Average Order Value</t>
  </si>
  <si>
    <t>Profit Margin</t>
  </si>
  <si>
    <t>Find the Sales for a given Order ID using VLOOKUP</t>
  </si>
  <si>
    <t>Sales</t>
  </si>
  <si>
    <t>Find the average Profit for a given State using AVERAGEIF</t>
  </si>
  <si>
    <t>Avg.Profit</t>
  </si>
  <si>
    <t>Find the Profit for a given Order ID using VLOOKUP and MATCH</t>
  </si>
  <si>
    <t>Profit</t>
  </si>
  <si>
    <t>Identify whether an order is Profitable or Loss-making using IF</t>
  </si>
  <si>
    <t>Find total Sales for a given State using SUMIF</t>
  </si>
  <si>
    <t xml:space="preserve">Profit </t>
  </si>
  <si>
    <t>Status</t>
  </si>
  <si>
    <t>Categorize orders based on Profit using IFS</t>
  </si>
  <si>
    <t>Find total Sales for a given State and Customer Segment using SUMIFS</t>
  </si>
  <si>
    <t>Count the number of orders for a given State using COUNTIF</t>
  </si>
  <si>
    <t>Number of Orders</t>
  </si>
  <si>
    <t>State-wise Sales</t>
  </si>
  <si>
    <t>Sum of Sales_INR</t>
  </si>
  <si>
    <t>Grand Total</t>
  </si>
  <si>
    <t>Product-wise Profit</t>
  </si>
  <si>
    <t>Sum of Profit_INR</t>
  </si>
  <si>
    <t>State-wise Profit</t>
  </si>
  <si>
    <t>Segment-wise Sales</t>
  </si>
  <si>
    <t>Business Question</t>
  </si>
  <si>
    <t>Finding</t>
  </si>
  <si>
    <t>Business Insight</t>
  </si>
  <si>
    <t>Which state has the highest sales?</t>
  </si>
  <si>
    <t>Gujarat – ₹1,664,620</t>
  </si>
  <si>
    <t>Gujarat has the highest sales among all states, indicating strong sales performance in this region.</t>
  </si>
  <si>
    <t>Which state has the highest profit?</t>
  </si>
  <si>
    <t>Gujarat – ₹2,63,975.17</t>
  </si>
  <si>
    <t>Gujarat generates the highest profit among all states, indicating strong profitability in this region.</t>
  </si>
  <si>
    <t>Which product generates the highest profit?</t>
  </si>
  <si>
    <t>Laptop – ₹8,28,751.19</t>
  </si>
  <si>
    <t>Laptop generates the highest profit among all products, indicating strong profitability and customer demand.</t>
  </si>
  <si>
    <t>Which customer segment generates the highest sales?</t>
  </si>
  <si>
    <t>Small Business – ₹53,69,040</t>
  </si>
  <si>
    <t>Small Business generates the highest sales among all customer segments, indicating strong demand from this segment.</t>
  </si>
  <si>
    <t>SALES DATA ANALYSIS DASHBOARD</t>
  </si>
  <si>
    <t>Sales Performance &amp; Business Insights</t>
  </si>
  <si>
    <t xml:space="preserve">Total Sales </t>
  </si>
  <si>
    <t>Total Cost</t>
  </si>
  <si>
    <t xml:space="preserve">Total Orders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</si>
</sst>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 [$₹-4009]\ * #,##0.0_ ;_ [$₹-4009]\ * \-#,##0.0_ ;_ [$₹-4009]\ * &quot;-&quot;??_ ;_ @_ "/>
  </numFmts>
  <fonts count="10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0" applyNumberFormat="1" applyFill="1" applyBorder="1"/>
    <xf numFmtId="14" fontId="0" fillId="3" borderId="1" xfId="0" applyNumberFormat="1" applyFill="1" applyBorder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2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1" xfId="0" applyNumberFormat="1" applyFont="1" applyBorder="1"/>
    <xf numFmtId="9" fontId="5" fillId="0" borderId="1" xfId="0" applyNumberFormat="1" applyFont="1" applyBorder="1"/>
    <xf numFmtId="0" fontId="0" fillId="4" borderId="1" xfId="0" applyFill="1" applyBorder="1"/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7" fillId="0" borderId="0" xfId="0" applyFont="1"/>
    <xf numFmtId="9" fontId="0" fillId="0" borderId="0" xfId="0" applyNumberFormat="1"/>
    <xf numFmtId="0" fontId="8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5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5" fontId="9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9" fontId="9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538DD5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State-wise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538DD5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cat>
            <c:strRef>
              <c:f>Pivot_Analysis!$A$4:$A$14</c:f>
              <c:strCache>
                <c:ptCount val="10"/>
                <c:pt idx="0">
                  <c:v>Gujarat</c:v>
                </c:pt>
                <c:pt idx="1">
                  <c:v>Karnataka</c:v>
                </c:pt>
                <c:pt idx="2">
                  <c:v>Rajasthan</c:v>
                </c:pt>
                <c:pt idx="3">
                  <c:v>Uttar Pradesh</c:v>
                </c:pt>
                <c:pt idx="4">
                  <c:v>Haryana</c:v>
                </c:pt>
                <c:pt idx="5">
                  <c:v>West Bengal</c:v>
                </c:pt>
                <c:pt idx="6">
                  <c:v>Tamil Nadu</c:v>
                </c:pt>
                <c:pt idx="7">
                  <c:v>Delhi</c:v>
                </c:pt>
                <c:pt idx="8">
                  <c:v>Maharashtra</c:v>
                </c:pt>
                <c:pt idx="9">
                  <c:v>Punjab</c:v>
                </c:pt>
              </c:strCache>
            </c:strRef>
          </c:cat>
          <c:val>
            <c:numRef>
              <c:f>Pivot_Analysis!$B$4:$B$14</c:f>
              <c:numCache>
                <c:formatCode>_ [$₹-4009]\ * #,##0.00_ ;_ [$₹-4009]\ * \-#,##0.00_ ;_ [$₹-4009]\ * "-"??_ ;_ @_ </c:formatCode>
                <c:ptCount val="10"/>
                <c:pt idx="0">
                  <c:v>1664620</c:v>
                </c:pt>
                <c:pt idx="1">
                  <c:v>1564060</c:v>
                </c:pt>
                <c:pt idx="2">
                  <c:v>1420115</c:v>
                </c:pt>
                <c:pt idx="3">
                  <c:v>1340555</c:v>
                </c:pt>
                <c:pt idx="4">
                  <c:v>1303140</c:v>
                </c:pt>
                <c:pt idx="5">
                  <c:v>1210015</c:v>
                </c:pt>
                <c:pt idx="6">
                  <c:v>998980</c:v>
                </c:pt>
                <c:pt idx="7">
                  <c:v>735330</c:v>
                </c:pt>
                <c:pt idx="8">
                  <c:v>724605</c:v>
                </c:pt>
                <c:pt idx="9">
                  <c:v>432600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A-4832-98B2-538CD84B7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6577671"/>
        <c:axId val="846581255"/>
      </c:barChart>
      <c:catAx>
        <c:axId val="846577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2F2F2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81255"/>
        <c:crosses val="autoZero"/>
        <c:auto val="1"/>
        <c:lblAlgn val="ctr"/>
        <c:lblOffset val="100"/>
        <c:noMultiLvlLbl val="0"/>
      </c:catAx>
      <c:valAx>
        <c:axId val="846581255"/>
        <c:scaling>
          <c:orientation val="minMax"/>
        </c:scaling>
        <c:delete val="0"/>
        <c:axPos val="t"/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solidFill>
            <a:srgbClr val="F2F2F2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77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DE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1" u="none" strike="noStrike" kern="1200" spc="0" baseline="0">
                <a:solidFill>
                  <a:srgbClr val="963634"/>
                </a:solidFill>
                <a:latin typeface="Candara"/>
                <a:ea typeface="Candara"/>
                <a:cs typeface="Candara"/>
              </a:defRPr>
            </a:pPr>
            <a:r>
              <a:rPr lang="en-US"/>
              <a:t>State-wise Profit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1" u="none" strike="noStrike" kern="1200" spc="0" baseline="0">
              <a:solidFill>
                <a:srgbClr val="963634"/>
              </a:solidFill>
              <a:latin typeface="Candara"/>
              <a:ea typeface="Candara"/>
              <a:cs typeface="Candar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48A54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48A54"/>
            </a:solidFill>
            <a:ln>
              <a:solidFill>
                <a:srgbClr val="4F81BD"/>
              </a:solidFill>
              <a:prstDash val="solid"/>
            </a:ln>
            <a:effectLst/>
          </c:spPr>
          <c:invertIfNegative val="0"/>
          <c:cat>
            <c:strRef>
              <c:f>Pivot_Analysis!$A$34:$A$44</c:f>
              <c:strCache>
                <c:ptCount val="10"/>
                <c:pt idx="0">
                  <c:v>Gujarat</c:v>
                </c:pt>
                <c:pt idx="1">
                  <c:v>Karnataka</c:v>
                </c:pt>
                <c:pt idx="2">
                  <c:v>West Bengal</c:v>
                </c:pt>
                <c:pt idx="3">
                  <c:v>Rajasthan</c:v>
                </c:pt>
                <c:pt idx="4">
                  <c:v>Haryana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Maharashtra</c:v>
                </c:pt>
                <c:pt idx="9">
                  <c:v>Punjab</c:v>
                </c:pt>
              </c:strCache>
            </c:strRef>
          </c:cat>
          <c:val>
            <c:numRef>
              <c:f>Pivot_Analysis!$B$34:$B$44</c:f>
              <c:numCache>
                <c:formatCode>General</c:formatCode>
                <c:ptCount val="10"/>
                <c:pt idx="0">
                  <c:v>263975.17000000004</c:v>
                </c:pt>
                <c:pt idx="1">
                  <c:v>255756.68000000005</c:v>
                </c:pt>
                <c:pt idx="2">
                  <c:v>239726.07999999999</c:v>
                </c:pt>
                <c:pt idx="3">
                  <c:v>230110.46</c:v>
                </c:pt>
                <c:pt idx="4">
                  <c:v>194672.43</c:v>
                </c:pt>
                <c:pt idx="5">
                  <c:v>191388.01</c:v>
                </c:pt>
                <c:pt idx="6">
                  <c:v>143025.75000000003</c:v>
                </c:pt>
                <c:pt idx="7">
                  <c:v>94133.209999999992</c:v>
                </c:pt>
                <c:pt idx="8">
                  <c:v>81378.659999999989</c:v>
                </c:pt>
                <c:pt idx="9">
                  <c:v>52792.249999999993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4-414F-9DC6-94BCF9003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4232583"/>
        <c:axId val="934246407"/>
      </c:barChart>
      <c:catAx>
        <c:axId val="934232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46407"/>
        <c:crosses val="autoZero"/>
        <c:auto val="1"/>
        <c:lblAlgn val="ctr"/>
        <c:lblOffset val="100"/>
        <c:noMultiLvlLbl val="0"/>
      </c:catAx>
      <c:valAx>
        <c:axId val="934246407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3423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BF1D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/>
                <a:ea typeface="MS PGothic"/>
                <a:cs typeface="MS PGothic"/>
              </a:defRPr>
            </a:pPr>
            <a:r>
              <a:rPr lang="en-US"/>
              <a:t>Product-wise Profit</a:t>
            </a:r>
          </a:p>
        </c:rich>
      </c:tx>
      <c:overlay val="0"/>
      <c:spPr>
        <a:solidFill>
          <a:srgbClr val="DDD9C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S PGothic"/>
              <a:ea typeface="MS PGothic"/>
              <a:cs typeface="MS P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cat>
            <c:strRef>
              <c:f>Pivot_Analysis!$A$20:$A$28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Monitor</c:v>
                </c:pt>
                <c:pt idx="3">
                  <c:v>Printer</c:v>
                </c:pt>
                <c:pt idx="4">
                  <c:v>Webcam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Pivot_Analysis!$B$20:$B$28</c:f>
              <c:numCache>
                <c:formatCode>General</c:formatCode>
                <c:ptCount val="8"/>
                <c:pt idx="0">
                  <c:v>828751.19000000006</c:v>
                </c:pt>
                <c:pt idx="1">
                  <c:v>423513.07999999996</c:v>
                </c:pt>
                <c:pt idx="2">
                  <c:v>229837.17</c:v>
                </c:pt>
                <c:pt idx="3">
                  <c:v>116910.71999999997</c:v>
                </c:pt>
                <c:pt idx="4">
                  <c:v>58826.349999999991</c:v>
                </c:pt>
                <c:pt idx="5">
                  <c:v>47017.170000000013</c:v>
                </c:pt>
                <c:pt idx="6">
                  <c:v>29543.03</c:v>
                </c:pt>
                <c:pt idx="7">
                  <c:v>12559.990000000002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3-4367-81AC-8B664BCF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184647"/>
        <c:axId val="610856455"/>
      </c:barChart>
      <c:catAx>
        <c:axId val="603184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56455"/>
        <c:crosses val="autoZero"/>
        <c:auto val="1"/>
        <c:lblAlgn val="ctr"/>
        <c:lblOffset val="100"/>
        <c:noMultiLvlLbl val="0"/>
      </c:catAx>
      <c:valAx>
        <c:axId val="610856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3184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4DFE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r>
              <a:rPr lang="en-US"/>
              <a:t>Segment-wise Sales</a:t>
            </a:r>
          </a:p>
        </c:rich>
      </c:tx>
      <c:overlay val="0"/>
      <c:spPr>
        <a:solidFill>
          <a:srgbClr val="CCC0D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49-408D-A259-3446E1BCB4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49-408D-A259-3446E1BCB4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49-408D-A259-3446E1BCB4DE}"/>
              </c:ext>
            </c:extLst>
          </c:dPt>
          <c:cat>
            <c:strRef>
              <c:f>Pivot_Analysis!$A$50:$A$53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Pivot_Analysis!$B$50:$B$53</c:f>
              <c:numCache>
                <c:formatCode>_ [$₹-4009]\ * #,##0.00_ ;_ [$₹-4009]\ * \-#,##0.00_ ;_ [$₹-4009]\ * "-"??_ ;_ @_ </c:formatCode>
                <c:ptCount val="3"/>
                <c:pt idx="0">
                  <c:v>2136655</c:v>
                </c:pt>
                <c:pt idx="1">
                  <c:v>3888325</c:v>
                </c:pt>
                <c:pt idx="2">
                  <c:v>5369040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C-4A21-9315-51AC0989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CD5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538DD5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State-wise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538DD5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cat>
            <c:strRef>
              <c:f>Pivot_Analysis!$A$4:$A$14</c:f>
              <c:strCache>
                <c:ptCount val="10"/>
                <c:pt idx="0">
                  <c:v>Gujarat</c:v>
                </c:pt>
                <c:pt idx="1">
                  <c:v>Karnataka</c:v>
                </c:pt>
                <c:pt idx="2">
                  <c:v>Rajasthan</c:v>
                </c:pt>
                <c:pt idx="3">
                  <c:v>Uttar Pradesh</c:v>
                </c:pt>
                <c:pt idx="4">
                  <c:v>Haryana</c:v>
                </c:pt>
                <c:pt idx="5">
                  <c:v>West Bengal</c:v>
                </c:pt>
                <c:pt idx="6">
                  <c:v>Tamil Nadu</c:v>
                </c:pt>
                <c:pt idx="7">
                  <c:v>Delhi</c:v>
                </c:pt>
                <c:pt idx="8">
                  <c:v>Maharashtra</c:v>
                </c:pt>
                <c:pt idx="9">
                  <c:v>Punjab</c:v>
                </c:pt>
              </c:strCache>
            </c:strRef>
          </c:cat>
          <c:val>
            <c:numRef>
              <c:f>Pivot_Analysis!$B$4:$B$14</c:f>
              <c:numCache>
                <c:formatCode>_ [$₹-4009]\ * #,##0.00_ ;_ [$₹-4009]\ * \-#,##0.00_ ;_ [$₹-4009]\ * "-"??_ ;_ @_ </c:formatCode>
                <c:ptCount val="10"/>
                <c:pt idx="0">
                  <c:v>1664620</c:v>
                </c:pt>
                <c:pt idx="1">
                  <c:v>1564060</c:v>
                </c:pt>
                <c:pt idx="2">
                  <c:v>1420115</c:v>
                </c:pt>
                <c:pt idx="3">
                  <c:v>1340555</c:v>
                </c:pt>
                <c:pt idx="4">
                  <c:v>1303140</c:v>
                </c:pt>
                <c:pt idx="5">
                  <c:v>1210015</c:v>
                </c:pt>
                <c:pt idx="6">
                  <c:v>998980</c:v>
                </c:pt>
                <c:pt idx="7">
                  <c:v>735330</c:v>
                </c:pt>
                <c:pt idx="8">
                  <c:v>724605</c:v>
                </c:pt>
                <c:pt idx="9">
                  <c:v>432600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5-4477-9E4F-80F2C97E0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6577671"/>
        <c:axId val="846581255"/>
      </c:barChart>
      <c:catAx>
        <c:axId val="8465776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2F2F2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81255"/>
        <c:crosses val="autoZero"/>
        <c:auto val="1"/>
        <c:lblAlgn val="ctr"/>
        <c:lblOffset val="100"/>
        <c:noMultiLvlLbl val="0"/>
      </c:catAx>
      <c:valAx>
        <c:axId val="846581255"/>
        <c:scaling>
          <c:orientation val="minMax"/>
        </c:scaling>
        <c:delete val="1"/>
        <c:axPos val="t"/>
        <c:numFmt formatCode="_ [$₹-4009]\ * #,##0.00_ ;_ [$₹-4009]\ * \-#,##0.00_ ;_ [$₹-4009]\ * &quot;-&quot;??_ ;_ @_ " sourceLinked="1"/>
        <c:majorTickMark val="none"/>
        <c:minorTickMark val="none"/>
        <c:tickLblPos val="nextTo"/>
        <c:crossAx val="846577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DE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1" u="none" strike="noStrike" kern="1200" spc="0" baseline="0">
                <a:solidFill>
                  <a:srgbClr val="963634"/>
                </a:solidFill>
                <a:latin typeface="Candara"/>
                <a:ea typeface="Candara"/>
                <a:cs typeface="Candara"/>
              </a:defRPr>
            </a:pPr>
            <a:r>
              <a:rPr lang="en-US"/>
              <a:t>State-wise Profit</a:t>
            </a:r>
          </a:p>
        </c:rich>
      </c:tx>
      <c:overlay val="0"/>
      <c:spPr>
        <a:solidFill>
          <a:srgbClr val="C5D9F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1" u="none" strike="noStrike" kern="1200" spc="0" baseline="0">
              <a:solidFill>
                <a:srgbClr val="963634"/>
              </a:solidFill>
              <a:latin typeface="Candara"/>
              <a:ea typeface="Candara"/>
              <a:cs typeface="Candar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48A54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48A54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48A54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48A54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48A54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48A54"/>
            </a:solidFill>
            <a:ln>
              <a:solidFill>
                <a:srgbClr val="4F81BD"/>
              </a:solidFill>
              <a:prstDash val="solid"/>
            </a:ln>
            <a:effectLst/>
          </c:spPr>
          <c:invertIfNegative val="0"/>
          <c:cat>
            <c:strRef>
              <c:f>Pivot_Analysis!$A$34:$A$44</c:f>
              <c:strCache>
                <c:ptCount val="10"/>
                <c:pt idx="0">
                  <c:v>Gujarat</c:v>
                </c:pt>
                <c:pt idx="1">
                  <c:v>Karnataka</c:v>
                </c:pt>
                <c:pt idx="2">
                  <c:v>West Bengal</c:v>
                </c:pt>
                <c:pt idx="3">
                  <c:v>Rajasthan</c:v>
                </c:pt>
                <c:pt idx="4">
                  <c:v>Haryana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Maharashtra</c:v>
                </c:pt>
                <c:pt idx="9">
                  <c:v>Punjab</c:v>
                </c:pt>
              </c:strCache>
            </c:strRef>
          </c:cat>
          <c:val>
            <c:numRef>
              <c:f>Pivot_Analysis!$B$34:$B$44</c:f>
              <c:numCache>
                <c:formatCode>General</c:formatCode>
                <c:ptCount val="10"/>
                <c:pt idx="0">
                  <c:v>263975.17000000004</c:v>
                </c:pt>
                <c:pt idx="1">
                  <c:v>255756.68000000005</c:v>
                </c:pt>
                <c:pt idx="2">
                  <c:v>239726.07999999999</c:v>
                </c:pt>
                <c:pt idx="3">
                  <c:v>230110.46</c:v>
                </c:pt>
                <c:pt idx="4">
                  <c:v>194672.43</c:v>
                </c:pt>
                <c:pt idx="5">
                  <c:v>191388.01</c:v>
                </c:pt>
                <c:pt idx="6">
                  <c:v>143025.75000000003</c:v>
                </c:pt>
                <c:pt idx="7">
                  <c:v>94133.209999999992</c:v>
                </c:pt>
                <c:pt idx="8">
                  <c:v>81378.659999999989</c:v>
                </c:pt>
                <c:pt idx="9">
                  <c:v>52792.249999999993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C-41E1-A519-A5C428C18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4232583"/>
        <c:axId val="934246407"/>
      </c:barChart>
      <c:catAx>
        <c:axId val="934232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46407"/>
        <c:crosses val="autoZero"/>
        <c:auto val="1"/>
        <c:lblAlgn val="ctr"/>
        <c:lblOffset val="100"/>
        <c:noMultiLvlLbl val="0"/>
      </c:catAx>
      <c:valAx>
        <c:axId val="934246407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3423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BF1D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/>
                <a:ea typeface="MS PGothic"/>
                <a:cs typeface="MS PGothic"/>
              </a:defRPr>
            </a:pPr>
            <a:r>
              <a:rPr lang="en-US"/>
              <a:t>Product-wise Profit</a:t>
            </a:r>
          </a:p>
        </c:rich>
      </c:tx>
      <c:overlay val="0"/>
      <c:spPr>
        <a:solidFill>
          <a:srgbClr val="DDD9C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S PGothic"/>
              <a:ea typeface="MS PGothic"/>
              <a:cs typeface="MS PGothic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A969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cat>
            <c:strRef>
              <c:f>Pivot_Analysis!$A$20:$A$28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Monitor</c:v>
                </c:pt>
                <c:pt idx="3">
                  <c:v>Printer</c:v>
                </c:pt>
                <c:pt idx="4">
                  <c:v>Webcam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Pivot_Analysis!$B$20:$B$28</c:f>
              <c:numCache>
                <c:formatCode>General</c:formatCode>
                <c:ptCount val="8"/>
                <c:pt idx="0">
                  <c:v>828751.19000000006</c:v>
                </c:pt>
                <c:pt idx="1">
                  <c:v>423513.07999999996</c:v>
                </c:pt>
                <c:pt idx="2">
                  <c:v>229837.17</c:v>
                </c:pt>
                <c:pt idx="3">
                  <c:v>116910.71999999997</c:v>
                </c:pt>
                <c:pt idx="4">
                  <c:v>58826.349999999991</c:v>
                </c:pt>
                <c:pt idx="5">
                  <c:v>47017.170000000013</c:v>
                </c:pt>
                <c:pt idx="6">
                  <c:v>29543.03</c:v>
                </c:pt>
                <c:pt idx="7">
                  <c:v>12559.990000000002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6-4D75-ACE3-47BCFB498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184647"/>
        <c:axId val="610856455"/>
      </c:barChart>
      <c:catAx>
        <c:axId val="603184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56455"/>
        <c:crosses val="autoZero"/>
        <c:auto val="1"/>
        <c:lblAlgn val="ctr"/>
        <c:lblOffset val="100"/>
        <c:noMultiLvlLbl val="0"/>
      </c:catAx>
      <c:valAx>
        <c:axId val="610856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3184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4DFE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[Sales_Data_Analysis(1).xlsx]Pivot_Analysis!PivotTable4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r>
              <a:rPr lang="en-US"/>
              <a:t>Customer Segment-wise Sales</a:t>
            </a:r>
          </a:p>
        </c:rich>
      </c:tx>
      <c:overlay val="0"/>
      <c:spPr>
        <a:solidFill>
          <a:srgbClr val="CCC0DA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02-48A9-AD8A-BC12350ABA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02-48A9-AD8A-BC12350ABA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02-48A9-AD8A-BC12350ABAD5}"/>
              </c:ext>
            </c:extLst>
          </c:dPt>
          <c:cat>
            <c:strRef>
              <c:f>Pivot_Analysis!$A$50:$A$53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Pivot_Analysis!$B$50:$B$53</c:f>
              <c:numCache>
                <c:formatCode>_ [$₹-4009]\ * #,##0.00_ ;_ [$₹-4009]\ * \-#,##0.00_ ;_ [$₹-4009]\ * "-"??_ ;_ @_ </c:formatCode>
                <c:ptCount val="3"/>
                <c:pt idx="0">
                  <c:v>2136655</c:v>
                </c:pt>
                <c:pt idx="1">
                  <c:v>3888325</c:v>
                </c:pt>
                <c:pt idx="2">
                  <c:v>5369040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02-48A9-AD8A-BC12350AB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CD5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57150</xdr:rowOff>
    </xdr:from>
    <xdr:to>
      <xdr:col>7</xdr:col>
      <xdr:colOff>457200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057BD8-CCD6-98E4-3D42-69080C088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33</xdr:row>
      <xdr:rowOff>57150</xdr:rowOff>
    </xdr:from>
    <xdr:to>
      <xdr:col>7</xdr:col>
      <xdr:colOff>457200</xdr:colOff>
      <xdr:row>48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B23855-09AD-D466-8A12-351A7D55D9B7}"/>
            </a:ext>
            <a:ext uri="{147F2762-F138-4A5C-976F-8EAC2B608ADB}">
              <a16:predDERef xmlns:a16="http://schemas.microsoft.com/office/drawing/2014/main" pred="{11057BD8-CCD6-98E4-3D42-69080C088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323850</xdr:colOff>
      <xdr:row>17</xdr:row>
      <xdr:rowOff>85725</xdr:rowOff>
    </xdr:from>
    <xdr:to>
      <xdr:col>7</xdr:col>
      <xdr:colOff>476250</xdr:colOff>
      <xdr:row>31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5B23E6-CD01-E94B-4B95-6A57223D2467}"/>
            </a:ext>
            <a:ext uri="{147F2762-F138-4A5C-976F-8EAC2B608ADB}">
              <a16:predDERef xmlns:a16="http://schemas.microsoft.com/office/drawing/2014/main" pred="{E0B23855-09AD-D466-8A12-351A7D55D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257175</xdr:colOff>
      <xdr:row>49</xdr:row>
      <xdr:rowOff>123825</xdr:rowOff>
    </xdr:from>
    <xdr:to>
      <xdr:col>7</xdr:col>
      <xdr:colOff>409575</xdr:colOff>
      <xdr:row>64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844397-7C0D-348C-0ABE-E5262D0136AC}"/>
            </a:ext>
            <a:ext uri="{147F2762-F138-4A5C-976F-8EAC2B608ADB}">
              <a16:predDERef xmlns:a16="http://schemas.microsoft.com/office/drawing/2014/main" pred="{C15B23E6-CD01-E94B-4B95-6A57223D2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523875</xdr:colOff>
      <xdr:row>1</xdr:row>
      <xdr:rowOff>9525</xdr:rowOff>
    </xdr:from>
    <xdr:to>
      <xdr:col>10</xdr:col>
      <xdr:colOff>523875</xdr:colOff>
      <xdr:row>14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e">
              <a:extLst>
                <a:ext uri="{FF2B5EF4-FFF2-40B4-BE49-F238E27FC236}">
                  <a16:creationId xmlns:a16="http://schemas.microsoft.com/office/drawing/2014/main" id="{A4D1CF4F-5051-9B35-4EBC-5D21F3F2B9BB}"/>
                </a:ext>
                <a:ext uri="{147F2762-F138-4A5C-976F-8EAC2B608ADB}">
                  <a16:predDERef xmlns:a16="http://schemas.microsoft.com/office/drawing/2014/main" pred="{DB844397-7C0D-348C-0ABE-E5262D0136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0" y="200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24</xdr:row>
      <xdr:rowOff>180975</xdr:rowOff>
    </xdr:from>
    <xdr:to>
      <xdr:col>11</xdr:col>
      <xdr:colOff>133350</xdr:colOff>
      <xdr:row>42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52916B7-0035-4F26-852D-C4883DDA2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200025</xdr:colOff>
      <xdr:row>24</xdr:row>
      <xdr:rowOff>161925</xdr:rowOff>
    </xdr:from>
    <xdr:to>
      <xdr:col>20</xdr:col>
      <xdr:colOff>114300</xdr:colOff>
      <xdr:row>42</xdr:row>
      <xdr:rowOff>47625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24115A3-2337-433F-9A59-B583D148C9D0}"/>
            </a:ext>
            <a:ext uri="{147F2762-F138-4A5C-976F-8EAC2B608ADB}">
              <a16:predDERef xmlns:a16="http://schemas.microsoft.com/office/drawing/2014/main" pred="{C52916B7-0035-4F26-852D-C4883DDA2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314325</xdr:colOff>
      <xdr:row>44</xdr:row>
      <xdr:rowOff>95250</xdr:rowOff>
    </xdr:from>
    <xdr:to>
      <xdr:col>11</xdr:col>
      <xdr:colOff>190500</xdr:colOff>
      <xdr:row>60</xdr:row>
      <xdr:rowOff>47625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E71439A1-66FC-44AC-8546-9016940CA6B4}"/>
            </a:ext>
            <a:ext uri="{147F2762-F138-4A5C-976F-8EAC2B608ADB}">
              <a16:predDERef xmlns:a16="http://schemas.microsoft.com/office/drawing/2014/main" pred="{B24115A3-2337-433F-9A59-B583D148C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200025</xdr:colOff>
      <xdr:row>44</xdr:row>
      <xdr:rowOff>85725</xdr:rowOff>
    </xdr:from>
    <xdr:to>
      <xdr:col>20</xdr:col>
      <xdr:colOff>180975</xdr:colOff>
      <xdr:row>60</xdr:row>
      <xdr:rowOff>133350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BE066CB8-C160-4F51-9404-8E407EBFC693}"/>
            </a:ext>
            <a:ext uri="{147F2762-F138-4A5C-976F-8EAC2B608ADB}">
              <a16:predDERef xmlns:a16="http://schemas.microsoft.com/office/drawing/2014/main" pred="{E71439A1-66FC-44AC-8546-9016940CA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19</xdr:row>
      <xdr:rowOff>85725</xdr:rowOff>
    </xdr:from>
    <xdr:to>
      <xdr:col>2</xdr:col>
      <xdr:colOff>495300</xdr:colOff>
      <xdr:row>33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e 1">
              <a:extLst>
                <a:ext uri="{FF2B5EF4-FFF2-40B4-BE49-F238E27FC236}">
                  <a16:creationId xmlns:a16="http://schemas.microsoft.com/office/drawing/2014/main" id="{C2113D03-1185-B53A-8ACE-6B95FF14A170}"/>
                </a:ext>
                <a:ext uri="{147F2762-F138-4A5C-976F-8EAC2B608ADB}">
                  <a16:predDERef xmlns:a16="http://schemas.microsoft.com/office/drawing/2014/main" pred="{BE066CB8-C160-4F51-9404-8E407EBFC6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90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44</xdr:row>
      <xdr:rowOff>47625</xdr:rowOff>
    </xdr:from>
    <xdr:to>
      <xdr:col>2</xdr:col>
      <xdr:colOff>523875</xdr:colOff>
      <xdr:row>56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">
              <a:extLst>
                <a:ext uri="{FF2B5EF4-FFF2-40B4-BE49-F238E27FC236}">
                  <a16:creationId xmlns:a16="http://schemas.microsoft.com/office/drawing/2014/main" id="{BEBE4A19-28C7-6477-0B1B-39167D532810}"/>
                </a:ext>
                <a:ext uri="{147F2762-F138-4A5C-976F-8EAC2B608ADB}">
                  <a16:predDERef xmlns:a16="http://schemas.microsoft.com/office/drawing/2014/main" pred="{C2113D03-1185-B53A-8ACE-6B95FF14A1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8715375"/>
              <a:ext cx="1828800" cy="2409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34</xdr:row>
      <xdr:rowOff>180975</xdr:rowOff>
    </xdr:from>
    <xdr:to>
      <xdr:col>2</xdr:col>
      <xdr:colOff>504825</xdr:colOff>
      <xdr:row>42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ustomer_Segment">
              <a:extLst>
                <a:ext uri="{FF2B5EF4-FFF2-40B4-BE49-F238E27FC236}">
                  <a16:creationId xmlns:a16="http://schemas.microsoft.com/office/drawing/2014/main" id="{E0040A2D-C400-3FB1-6120-C36359E7524F}"/>
                </a:ext>
                <a:ext uri="{147F2762-F138-4A5C-976F-8EAC2B608ADB}">
                  <a16:predDERef xmlns:a16="http://schemas.microsoft.com/office/drawing/2014/main" pred="{BEBE4A19-28C7-6477-0B1B-39167D5328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6943725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673678587962" createdVersion="8" refreshedVersion="8" minRefreshableVersion="3" recordCount="200" xr:uid="{7A3282FB-54AB-44AB-868F-8D44BCDC9460}">
  <cacheSource type="worksheet">
    <worksheetSource ref="A1:N201" sheet="Raw_Data"/>
  </cacheSource>
  <cacheFields count="14">
    <cacheField name="Order_ID" numFmtId="0">
      <sharedItems/>
    </cacheField>
    <cacheField name="Order_Date" numFmtId="14">
      <sharedItems/>
    </cacheField>
    <cacheField name="Customer_ID" numFmtId="0">
      <sharedItems/>
    </cacheField>
    <cacheField name="State" numFmtId="0">
      <sharedItems count="10">
        <s v="Haryana"/>
        <s v="West Bengal"/>
        <s v="Rajasthan"/>
        <s v="Gujarat"/>
        <s v="Karnataka"/>
        <s v="Maharashtra"/>
        <s v="Tamil Nadu"/>
        <s v="Uttar Pradesh"/>
        <s v="Delhi"/>
        <s v="Punjab"/>
      </sharedItems>
    </cacheField>
    <cacheField name="Customer_Segment" numFmtId="0">
      <sharedItems count="3">
        <s v="Small Business"/>
        <s v="Consumer"/>
        <s v="Corporate"/>
      </sharedItems>
    </cacheField>
    <cacheField name="Product" numFmtId="0">
      <sharedItems count="8">
        <s v="Monitor"/>
        <s v="Laptop"/>
        <s v="Tablet"/>
        <s v="Keyboard"/>
        <s v="Printer"/>
        <s v="Mouse"/>
        <s v="Headphones"/>
        <s v="Webcam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INR" numFmtId="164">
      <sharedItems containsSemiMixedTypes="0" containsString="0" containsNumber="1" containsInteger="1" minValue="600" maxValue="82300"/>
    </cacheField>
    <cacheField name="Discount" numFmtId="9">
      <sharedItems containsSemiMixedTypes="0" containsString="0" containsNumber="1" minValue="0" maxValue="0.15"/>
    </cacheField>
    <cacheField name="Sales_INR" numFmtId="164">
      <sharedItems containsSemiMixedTypes="0" containsString="0" containsNumber="1" containsInteger="1" minValue="900" maxValue="391500" count="183">
        <n v="27360"/>
        <n v="44175"/>
        <n v="83520"/>
        <n v="6300"/>
        <n v="329200"/>
        <n v="43400"/>
        <n v="94320"/>
        <n v="7980"/>
        <n v="51030"/>
        <n v="8500"/>
        <n v="12600"/>
        <n v="16000"/>
        <n v="63920"/>
        <n v="18300"/>
        <n v="3600"/>
        <n v="21000"/>
        <n v="1200"/>
        <n v="15300"/>
        <n v="9435"/>
        <n v="35625"/>
        <n v="58805"/>
        <n v="15640"/>
        <n v="2100"/>
        <n v="12160"/>
        <n v="391500"/>
        <n v="1615"/>
        <n v="6120"/>
        <n v="201875"/>
        <n v="6000"/>
        <n v="65195"/>
        <n v="33405"/>
        <n v="342000"/>
        <n v="41040"/>
        <n v="355950"/>
        <n v="7125"/>
        <n v="178920"/>
        <n v="40700"/>
        <n v="7000"/>
        <n v="76500"/>
        <n v="137955"/>
        <n v="52820"/>
        <n v="133790"/>
        <n v="210150"/>
        <n v="214625"/>
        <n v="74700"/>
        <n v="16200"/>
        <n v="103320"/>
        <n v="18500"/>
        <n v="26980"/>
        <n v="16740"/>
        <n v="8160"/>
        <n v="900"/>
        <n v="3040"/>
        <n v="26860"/>
        <n v="11475"/>
        <n v="23750"/>
        <n v="70720"/>
        <n v="32760"/>
        <n v="7400"/>
        <n v="2500"/>
        <n v="52020"/>
        <n v="97200"/>
        <n v="146500"/>
        <n v="266000"/>
        <n v="21675"/>
        <n v="25840"/>
        <n v="9520"/>
        <n v="142800"/>
        <n v="7200"/>
        <n v="85950"/>
        <n v="8835"/>
        <n v="3400"/>
        <n v="2520"/>
        <n v="208905"/>
        <n v="37100"/>
        <n v="204250"/>
        <n v="138000"/>
        <n v="4600"/>
        <n v="153360"/>
        <n v="1710"/>
        <n v="22500"/>
        <n v="7100"/>
        <n v="13000"/>
        <n v="29160"/>
        <n v="46980"/>
        <n v="21600"/>
        <n v="334050"/>
        <n v="3780"/>
        <n v="4860"/>
        <n v="5100"/>
        <n v="17480"/>
        <n v="132300"/>
        <n v="4590"/>
        <n v="53890"/>
        <n v="14025"/>
        <n v="72770"/>
        <n v="36540"/>
        <n v="34200"/>
        <n v="74290"/>
        <n v="3995"/>
        <n v="56100"/>
        <n v="54000"/>
        <n v="4500"/>
        <n v="24800"/>
        <n v="23375"/>
        <n v="116800"/>
        <n v="162300"/>
        <n v="2125"/>
        <n v="242000"/>
        <n v="71400"/>
        <n v="42500"/>
        <n v="186105"/>
        <n v="135375"/>
        <n v="3420"/>
        <n v="13320"/>
        <n v="4100"/>
        <n v="31350"/>
        <n v="191250"/>
        <n v="6840"/>
        <n v="48330"/>
        <n v="18000"/>
        <n v="20485"/>
        <n v="3230"/>
        <n v="28215"/>
        <n v="228300"/>
        <n v="7225"/>
        <n v="5780"/>
        <n v="19570"/>
        <n v="25560"/>
        <n v="81540"/>
        <n v="267520"/>
        <n v="16235"/>
        <n v="173880"/>
        <n v="36800"/>
        <n v="16815"/>
        <n v="7830"/>
        <n v="4560"/>
        <n v="36975"/>
        <n v="3060"/>
        <n v="57460"/>
        <n v="178000"/>
        <n v="4400"/>
        <n v="195840"/>
        <n v="98700"/>
        <n v="75525"/>
        <n v="3315"/>
        <n v="19980"/>
        <n v="1530"/>
        <n v="224580"/>
        <n v="3960"/>
        <n v="18870"/>
        <n v="5400"/>
        <n v="9500"/>
        <n v="52920"/>
        <n v="77520"/>
        <n v="1500"/>
        <n v="82080"/>
        <n v="1955"/>
        <n v="3510"/>
        <n v="112000"/>
        <n v="56880"/>
        <n v="2700"/>
        <n v="4800"/>
        <n v="228225"/>
        <n v="12510"/>
        <n v="21060"/>
        <n v="3200"/>
        <n v="9180"/>
        <n v="93960"/>
        <n v="3800"/>
        <n v="129030"/>
        <n v="46170"/>
        <n v="36630"/>
        <n v="22590"/>
        <n v="26790"/>
        <n v="17000"/>
        <n v="36600"/>
        <n v="6400"/>
        <n v="45180"/>
        <n v="21400"/>
        <n v="37060"/>
        <n v="108800"/>
        <n v="29070"/>
      </sharedItems>
    </cacheField>
    <cacheField name="Cost_INR" numFmtId="164">
      <sharedItems containsSemiMixedTypes="0" containsString="0" containsNumber="1" minValue="752.12" maxValue="342641.9"/>
    </cacheField>
    <cacheField name="Profit_INR" numFmtId="0">
      <sharedItems containsSemiMixedTypes="0" containsString="0" containsNumber="1" minValue="-3000.28" maxValue="104428.97"/>
    </cacheField>
    <cacheField name="Payment_Mode" numFmtId="0">
      <sharedItems/>
    </cacheField>
  </cacheFields>
  <extLst>
    <ext xmlns:x14="http://schemas.microsoft.com/office/spreadsheetml/2009/9/main" uri="{725AE2AE-9491-48be-B2B4-4EB974FC3084}">
      <x14:pivotCacheDefinition pivotCacheId="11709212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1002"/>
    <s v="2025-02-22"/>
    <s v="CUST170"/>
    <x v="0"/>
    <x v="0"/>
    <x v="0"/>
    <s v="Electronics"/>
    <n v="3"/>
    <n v="9600"/>
    <n v="0.05"/>
    <x v="0"/>
    <n v="20869.689999999999"/>
    <n v="6490.31"/>
    <s v="Net Banking"/>
  </r>
  <r>
    <s v="ORD1003"/>
    <s v="2025-11-05"/>
    <s v="CUST104"/>
    <x v="1"/>
    <x v="1"/>
    <x v="1"/>
    <s v="Electronics"/>
    <n v="1"/>
    <n v="46500"/>
    <n v="0.05"/>
    <x v="1"/>
    <n v="33783.75"/>
    <n v="10391.25"/>
    <s v="Cash"/>
  </r>
  <r>
    <s v="ORD1004"/>
    <s v="2025-01-04"/>
    <s v="CUST121"/>
    <x v="2"/>
    <x v="2"/>
    <x v="2"/>
    <s v="Electronics"/>
    <n v="4"/>
    <n v="23200"/>
    <n v="0.1"/>
    <x v="2"/>
    <n v="78127.03"/>
    <n v="5392.97"/>
    <s v="Debit Card"/>
  </r>
  <r>
    <s v="ORD1005"/>
    <s v="2025-02-19"/>
    <s v="CUST146"/>
    <x v="3"/>
    <x v="0"/>
    <x v="3"/>
    <s v="Accessories"/>
    <n v="3"/>
    <n v="2100"/>
    <n v="0"/>
    <x v="3"/>
    <n v="4400.8599999999997"/>
    <n v="1899.14"/>
    <s v="Debit Card"/>
  </r>
  <r>
    <s v="ORD1006"/>
    <s v="2025-07-13"/>
    <s v="CUST111"/>
    <x v="1"/>
    <x v="2"/>
    <x v="1"/>
    <s v="Electronics"/>
    <n v="4"/>
    <n v="82300"/>
    <n v="0"/>
    <x v="4"/>
    <n v="287925.94"/>
    <n v="41274.06"/>
    <s v="Cash"/>
  </r>
  <r>
    <s v="ORD1007"/>
    <s v="2025-04-27"/>
    <s v="CUST138"/>
    <x v="0"/>
    <x v="1"/>
    <x v="4"/>
    <s v="Office Equipment"/>
    <n v="2"/>
    <n v="21700"/>
    <n v="0"/>
    <x v="5"/>
    <n v="29909.759999999998"/>
    <n v="13490.24"/>
    <s v="UPI"/>
  </r>
  <r>
    <s v="ORD1008"/>
    <s v="2025-07-01"/>
    <s v="CUST127"/>
    <x v="4"/>
    <x v="0"/>
    <x v="2"/>
    <s v="Electronics"/>
    <n v="4"/>
    <n v="26200"/>
    <n v="0.1"/>
    <x v="6"/>
    <n v="74673.23"/>
    <n v="19646.77"/>
    <s v="UPI"/>
  </r>
  <r>
    <s v="ORD1009"/>
    <s v="2025-05-19"/>
    <s v="CUST172"/>
    <x v="5"/>
    <x v="0"/>
    <x v="3"/>
    <s v="Accessories"/>
    <n v="2"/>
    <n v="4200"/>
    <n v="0.05"/>
    <x v="7"/>
    <n v="6488.6"/>
    <n v="1491.4"/>
    <s v="Debit Card"/>
  </r>
  <r>
    <s v="ORD1010"/>
    <s v="2025-02-03"/>
    <s v="CUST128"/>
    <x v="6"/>
    <x v="0"/>
    <x v="1"/>
    <s v="Electronics"/>
    <n v="1"/>
    <n v="56700"/>
    <n v="0.1"/>
    <x v="8"/>
    <n v="43105.21"/>
    <n v="7924.79"/>
    <s v="Debit Card"/>
  </r>
  <r>
    <s v="ORD1011"/>
    <s v="2025-11-26"/>
    <s v="CUST159"/>
    <x v="7"/>
    <x v="2"/>
    <x v="5"/>
    <s v="Accessories"/>
    <n v="4"/>
    <n v="2500"/>
    <n v="0.15"/>
    <x v="9"/>
    <n v="8569.3700000000008"/>
    <n v="-69.37"/>
    <s v="Credit Card"/>
  </r>
  <r>
    <s v="ORD1012"/>
    <s v="2025-08-08"/>
    <s v="CUST175"/>
    <x v="2"/>
    <x v="2"/>
    <x v="5"/>
    <s v="Accessories"/>
    <n v="5"/>
    <n v="2800"/>
    <n v="0.1"/>
    <x v="10"/>
    <n v="11611.64"/>
    <n v="988.36"/>
    <s v="Credit Card"/>
  </r>
  <r>
    <s v="ORD1013"/>
    <s v="2025-02-26"/>
    <s v="CUST120"/>
    <x v="7"/>
    <x v="0"/>
    <x v="3"/>
    <s v="Accessories"/>
    <n v="4"/>
    <n v="4000"/>
    <n v="0"/>
    <x v="11"/>
    <n v="13298.5"/>
    <n v="2701.5"/>
    <s v="Net Banking"/>
  </r>
  <r>
    <s v="ORD1014"/>
    <s v="2025-10-11"/>
    <s v="CUST102"/>
    <x v="0"/>
    <x v="0"/>
    <x v="0"/>
    <s v="Electronics"/>
    <n v="4"/>
    <n v="18800"/>
    <n v="0.15"/>
    <x v="12"/>
    <n v="59093.88"/>
    <n v="4826.12"/>
    <s v="Cash"/>
  </r>
  <r>
    <s v="ORD1015"/>
    <s v="2025-03-22"/>
    <s v="CUST159"/>
    <x v="8"/>
    <x v="0"/>
    <x v="6"/>
    <s v="Accessories"/>
    <n v="3"/>
    <n v="6100"/>
    <n v="0"/>
    <x v="13"/>
    <n v="13518.21"/>
    <n v="4781.79"/>
    <s v="Debit Card"/>
  </r>
  <r>
    <s v="ORD1016"/>
    <s v="2025-09-17"/>
    <s v="CUST178"/>
    <x v="5"/>
    <x v="1"/>
    <x v="3"/>
    <s v="Accessories"/>
    <n v="1"/>
    <n v="4000"/>
    <n v="0.1"/>
    <x v="14"/>
    <n v="3393.34"/>
    <n v="206.66"/>
    <s v="Debit Card"/>
  </r>
  <r>
    <s v="ORD1017"/>
    <s v="2025-09-08"/>
    <s v="CUST103"/>
    <x v="0"/>
    <x v="2"/>
    <x v="3"/>
    <s v="Accessories"/>
    <n v="5"/>
    <n v="4200"/>
    <n v="0"/>
    <x v="15"/>
    <n v="16795.57"/>
    <n v="4204.43"/>
    <s v="Debit Card"/>
  </r>
  <r>
    <s v="ORD1018"/>
    <s v="2025-09-06"/>
    <s v="CUST109"/>
    <x v="1"/>
    <x v="1"/>
    <x v="5"/>
    <s v="Accessories"/>
    <n v="2"/>
    <n v="600"/>
    <n v="0"/>
    <x v="16"/>
    <n v="836.56"/>
    <n v="363.44"/>
    <s v="Credit Card"/>
  </r>
  <r>
    <s v="ORD1019"/>
    <s v="2025-11-07"/>
    <s v="CUST155"/>
    <x v="5"/>
    <x v="0"/>
    <x v="7"/>
    <s v="Accessories"/>
    <n v="2"/>
    <n v="8500"/>
    <n v="0.1"/>
    <x v="17"/>
    <n v="13354.09"/>
    <n v="1945.91"/>
    <s v="Credit Card"/>
  </r>
  <r>
    <s v="ORD1020"/>
    <s v="2025-08-20"/>
    <s v="CUST116"/>
    <x v="5"/>
    <x v="1"/>
    <x v="6"/>
    <s v="Accessories"/>
    <n v="3"/>
    <n v="3700"/>
    <n v="0.15"/>
    <x v="18"/>
    <n v="9545.14"/>
    <n v="-110.14"/>
    <s v="UPI"/>
  </r>
  <r>
    <s v="ORD1021"/>
    <s v="2025-01-04"/>
    <s v="CUST110"/>
    <x v="8"/>
    <x v="1"/>
    <x v="4"/>
    <s v="Office Equipment"/>
    <n v="5"/>
    <n v="7500"/>
    <n v="0.05"/>
    <x v="19"/>
    <n v="29913.3"/>
    <n v="5711.7"/>
    <s v="UPI"/>
  </r>
  <r>
    <s v="ORD1022"/>
    <s v="2025-09-06"/>
    <s v="CUST128"/>
    <x v="1"/>
    <x v="1"/>
    <x v="1"/>
    <s v="Electronics"/>
    <n v="1"/>
    <n v="61900"/>
    <n v="0.05"/>
    <x v="20"/>
    <n v="45539.55"/>
    <n v="13265.45"/>
    <s v="Cash"/>
  </r>
  <r>
    <s v="ORD1023"/>
    <s v="2025-02-19"/>
    <s v="CUST156"/>
    <x v="3"/>
    <x v="2"/>
    <x v="7"/>
    <s v="Accessories"/>
    <n v="4"/>
    <n v="4600"/>
    <n v="0.15"/>
    <x v="21"/>
    <n v="13212.71"/>
    <n v="2427.29"/>
    <s v="Net Banking"/>
  </r>
  <r>
    <s v="ORD1024"/>
    <s v="2025-06-23"/>
    <s v="CUST114"/>
    <x v="5"/>
    <x v="1"/>
    <x v="7"/>
    <s v="Accessories"/>
    <n v="1"/>
    <n v="2100"/>
    <n v="0"/>
    <x v="22"/>
    <n v="1597.1"/>
    <n v="502.9"/>
    <s v="Credit Card"/>
  </r>
  <r>
    <s v="ORD1025"/>
    <s v="2025-05-08"/>
    <s v="CUST110"/>
    <x v="9"/>
    <x v="0"/>
    <x v="7"/>
    <s v="Accessories"/>
    <n v="4"/>
    <n v="3200"/>
    <n v="0.05"/>
    <x v="23"/>
    <n v="9417.08"/>
    <n v="2742.92"/>
    <s v="UPI"/>
  </r>
  <r>
    <s v="ORD1026"/>
    <s v="2025-05-02"/>
    <s v="CUST122"/>
    <x v="2"/>
    <x v="2"/>
    <x v="1"/>
    <s v="Electronics"/>
    <n v="5"/>
    <n v="78300"/>
    <n v="0"/>
    <x v="24"/>
    <n v="342092.41"/>
    <n v="49407.59"/>
    <s v="Net Banking"/>
  </r>
  <r>
    <s v="ORD1027"/>
    <s v="2025-07-19"/>
    <s v="CUST134"/>
    <x v="9"/>
    <x v="2"/>
    <x v="5"/>
    <s v="Accessories"/>
    <n v="1"/>
    <n v="1700"/>
    <n v="0.05"/>
    <x v="25"/>
    <n v="1284.8499999999999"/>
    <n v="330.15"/>
    <s v="Net Banking"/>
  </r>
  <r>
    <s v="ORD1028"/>
    <s v="2025-01-30"/>
    <s v="CUST175"/>
    <x v="1"/>
    <x v="1"/>
    <x v="7"/>
    <s v="Accessories"/>
    <n v="2"/>
    <n v="3400"/>
    <n v="0.1"/>
    <x v="26"/>
    <n v="4920.07"/>
    <n v="1199.93"/>
    <s v="Debit Card"/>
  </r>
  <r>
    <s v="ORD1029"/>
    <s v="2025-09-29"/>
    <s v="CUST121"/>
    <x v="8"/>
    <x v="0"/>
    <x v="1"/>
    <s v="Electronics"/>
    <n v="5"/>
    <n v="47500"/>
    <n v="0.15"/>
    <x v="27"/>
    <n v="185385.39"/>
    <n v="16489.61"/>
    <s v="UPI"/>
  </r>
  <r>
    <s v="ORD1030"/>
    <s v="2025-05-01"/>
    <s v="CUST152"/>
    <x v="0"/>
    <x v="0"/>
    <x v="3"/>
    <s v="Accessories"/>
    <n v="5"/>
    <n v="1200"/>
    <n v="0"/>
    <x v="28"/>
    <n v="4890.26"/>
    <n v="1109.74"/>
    <s v="Credit Card"/>
  </r>
  <r>
    <s v="ORD1031"/>
    <s v="2025-10-17"/>
    <s v="CUST167"/>
    <x v="3"/>
    <x v="2"/>
    <x v="1"/>
    <s v="Electronics"/>
    <n v="1"/>
    <n v="76700"/>
    <n v="0.15"/>
    <x v="29"/>
    <n v="62240.1"/>
    <n v="2954.9"/>
    <s v="Credit Card"/>
  </r>
  <r>
    <s v="ORD1032"/>
    <s v="2025-11-27"/>
    <s v="CUST139"/>
    <x v="9"/>
    <x v="2"/>
    <x v="4"/>
    <s v="Office Equipment"/>
    <n v="3"/>
    <n v="13100"/>
    <n v="0.15"/>
    <x v="30"/>
    <n v="27752.7"/>
    <n v="5652.3"/>
    <s v="UPI"/>
  </r>
  <r>
    <s v="ORD1033"/>
    <s v="2025-04-20"/>
    <s v="CUST165"/>
    <x v="4"/>
    <x v="1"/>
    <x v="1"/>
    <s v="Electronics"/>
    <n v="5"/>
    <n v="68400"/>
    <n v="0"/>
    <x v="31"/>
    <n v="237571.03"/>
    <n v="104428.97"/>
    <s v="Debit Card"/>
  </r>
  <r>
    <s v="ORD1034"/>
    <s v="2025-10-06"/>
    <s v="CUST139"/>
    <x v="6"/>
    <x v="0"/>
    <x v="0"/>
    <s v="Electronics"/>
    <n v="3"/>
    <n v="15200"/>
    <n v="0.1"/>
    <x v="32"/>
    <n v="32446.65"/>
    <n v="8593.35"/>
    <s v="Cash"/>
  </r>
  <r>
    <s v="ORD1035"/>
    <s v="2025-02-23"/>
    <s v="CUST118"/>
    <x v="4"/>
    <x v="1"/>
    <x v="1"/>
    <s v="Electronics"/>
    <n v="5"/>
    <n v="79100"/>
    <n v="0.1"/>
    <x v="33"/>
    <n v="342641.9"/>
    <n v="13308.1"/>
    <s v="UPI"/>
  </r>
  <r>
    <s v="ORD1036"/>
    <s v="2025-04-15"/>
    <s v="CUST134"/>
    <x v="1"/>
    <x v="2"/>
    <x v="3"/>
    <s v="Accessories"/>
    <n v="3"/>
    <n v="2500"/>
    <n v="0.05"/>
    <x v="34"/>
    <n v="6176.42"/>
    <n v="948.58"/>
    <s v="Debit Card"/>
  </r>
  <r>
    <s v="ORD1037"/>
    <s v="2025-06-20"/>
    <s v="CUST117"/>
    <x v="4"/>
    <x v="1"/>
    <x v="1"/>
    <s v="Electronics"/>
    <n v="4"/>
    <n v="49700"/>
    <n v="0.1"/>
    <x v="35"/>
    <n v="136936.89000000001"/>
    <n v="41983.11"/>
    <s v="Net Banking"/>
  </r>
  <r>
    <s v="ORD1038"/>
    <s v="2025-12-20"/>
    <s v="CUST120"/>
    <x v="1"/>
    <x v="1"/>
    <x v="2"/>
    <s v="Electronics"/>
    <n v="1"/>
    <n v="40700"/>
    <n v="0"/>
    <x v="36"/>
    <n v="28288.49"/>
    <n v="12411.51"/>
    <s v="Debit Card"/>
  </r>
  <r>
    <s v="ORD1039"/>
    <s v="2025-01-21"/>
    <s v="CUST146"/>
    <x v="5"/>
    <x v="0"/>
    <x v="3"/>
    <s v="Accessories"/>
    <n v="2"/>
    <n v="3500"/>
    <n v="0"/>
    <x v="37"/>
    <n v="5191.5600000000004"/>
    <n v="1808.44"/>
    <s v="Credit Card"/>
  </r>
  <r>
    <s v="ORD1040"/>
    <s v="2025-03-21"/>
    <s v="CUST131"/>
    <x v="7"/>
    <x v="1"/>
    <x v="0"/>
    <s v="Electronics"/>
    <n v="5"/>
    <n v="18000"/>
    <n v="0.15"/>
    <x v="38"/>
    <n v="78729.070000000007"/>
    <n v="-2229.0700000000002"/>
    <s v="Net Banking"/>
  </r>
  <r>
    <s v="ORD1041"/>
    <s v="2025-05-08"/>
    <s v="CUST135"/>
    <x v="7"/>
    <x v="0"/>
    <x v="1"/>
    <s v="Electronics"/>
    <n v="3"/>
    <n v="54100"/>
    <n v="0.15"/>
    <x v="39"/>
    <n v="136404.54999999999"/>
    <n v="1550.45"/>
    <s v="UPI"/>
  </r>
  <r>
    <s v="ORD1042"/>
    <s v="2025-08-24"/>
    <s v="CUST145"/>
    <x v="4"/>
    <x v="1"/>
    <x v="2"/>
    <s v="Electronics"/>
    <n v="4"/>
    <n v="13900"/>
    <n v="0.05"/>
    <x v="40"/>
    <n v="40027.25"/>
    <n v="12792.75"/>
    <s v="Credit Card"/>
  </r>
  <r>
    <s v="ORD1043"/>
    <s v="2025-02-05"/>
    <s v="CUST136"/>
    <x v="3"/>
    <x v="0"/>
    <x v="1"/>
    <s v="Electronics"/>
    <n v="2"/>
    <n v="78700"/>
    <n v="0.15"/>
    <x v="41"/>
    <n v="117365.69"/>
    <n v="16424.310000000001"/>
    <s v="Cash"/>
  </r>
  <r>
    <s v="ORD1044"/>
    <s v="2025-03-01"/>
    <s v="CUST134"/>
    <x v="7"/>
    <x v="0"/>
    <x v="2"/>
    <s v="Electronics"/>
    <n v="5"/>
    <n v="46700"/>
    <n v="0.1"/>
    <x v="42"/>
    <n v="202642.37"/>
    <n v="7507.63"/>
    <s v="Debit Card"/>
  </r>
  <r>
    <s v="ORD1045"/>
    <s v="2025-06-10"/>
    <s v="CUST156"/>
    <x v="6"/>
    <x v="0"/>
    <x v="1"/>
    <s v="Electronics"/>
    <n v="5"/>
    <n v="50500"/>
    <n v="0.15"/>
    <x v="43"/>
    <n v="189157.2"/>
    <n v="25467.8"/>
    <s v="UPI"/>
  </r>
  <r>
    <s v="ORD1046"/>
    <s v="2025-08-12"/>
    <s v="CUST101"/>
    <x v="1"/>
    <x v="0"/>
    <x v="2"/>
    <s v="Electronics"/>
    <n v="2"/>
    <n v="41500"/>
    <n v="0.1"/>
    <x v="44"/>
    <n v="57176.82"/>
    <n v="17523.18"/>
    <s v="Credit Card"/>
  </r>
  <r>
    <s v="ORD1047"/>
    <s v="2025-12-06"/>
    <s v="CUST116"/>
    <x v="4"/>
    <x v="0"/>
    <x v="4"/>
    <s v="Office Equipment"/>
    <n v="1"/>
    <n v="18000"/>
    <n v="0.1"/>
    <x v="45"/>
    <n v="14483.36"/>
    <n v="1716.64"/>
    <s v="Debit Card"/>
  </r>
  <r>
    <s v="ORD1048"/>
    <s v="2025-04-09"/>
    <s v="CUST154"/>
    <x v="2"/>
    <x v="0"/>
    <x v="2"/>
    <s v="Electronics"/>
    <n v="4"/>
    <n v="28700"/>
    <n v="0.1"/>
    <x v="46"/>
    <n v="90793.31"/>
    <n v="12526.69"/>
    <s v="Credit Card"/>
  </r>
  <r>
    <s v="ORD1049"/>
    <s v="2025-04-18"/>
    <s v="CUST156"/>
    <x v="6"/>
    <x v="0"/>
    <x v="6"/>
    <s v="Accessories"/>
    <n v="5"/>
    <n v="3700"/>
    <n v="0"/>
    <x v="47"/>
    <n v="13704.34"/>
    <n v="4795.66"/>
    <s v="Debit Card"/>
  </r>
  <r>
    <s v="ORD1050"/>
    <s v="2025-03-28"/>
    <s v="CUST111"/>
    <x v="4"/>
    <x v="0"/>
    <x v="7"/>
    <s v="Accessories"/>
    <n v="4"/>
    <n v="7100"/>
    <n v="0.05"/>
    <x v="48"/>
    <n v="22215.47"/>
    <n v="4764.53"/>
    <s v="Cash"/>
  </r>
  <r>
    <s v="ORD1051"/>
    <s v="2025-04-12"/>
    <s v="CUST119"/>
    <x v="8"/>
    <x v="1"/>
    <x v="4"/>
    <s v="Office Equipment"/>
    <n v="2"/>
    <n v="9300"/>
    <n v="0.1"/>
    <x v="49"/>
    <n v="13483.66"/>
    <n v="3256.34"/>
    <s v="Credit Card"/>
  </r>
  <r>
    <s v="ORD1052"/>
    <s v="2025-10-22"/>
    <s v="CUST125"/>
    <x v="2"/>
    <x v="2"/>
    <x v="7"/>
    <s v="Accessories"/>
    <n v="4"/>
    <n v="2400"/>
    <n v="0.15"/>
    <x v="50"/>
    <n v="8229.3799999999992"/>
    <n v="-69.38"/>
    <s v="Net Banking"/>
  </r>
  <r>
    <s v="ORD1053"/>
    <s v="2025-04-23"/>
    <s v="CUST123"/>
    <x v="1"/>
    <x v="2"/>
    <x v="5"/>
    <s v="Accessories"/>
    <n v="1"/>
    <n v="900"/>
    <n v="0"/>
    <x v="51"/>
    <n v="752.12"/>
    <n v="147.88"/>
    <s v="UPI"/>
  </r>
  <r>
    <s v="ORD1054"/>
    <s v="2025-12-08"/>
    <s v="CUST168"/>
    <x v="1"/>
    <x v="0"/>
    <x v="5"/>
    <s v="Accessories"/>
    <n v="4"/>
    <n v="800"/>
    <n v="0.05"/>
    <x v="52"/>
    <n v="2688.91"/>
    <n v="351.09"/>
    <s v="Debit Card"/>
  </r>
  <r>
    <s v="ORD1055"/>
    <s v="2025-09-01"/>
    <s v="CUST158"/>
    <x v="4"/>
    <x v="1"/>
    <x v="7"/>
    <s v="Accessories"/>
    <n v="4"/>
    <n v="7900"/>
    <n v="0.15"/>
    <x v="53"/>
    <n v="27158.36"/>
    <n v="-298.36"/>
    <s v="Debit Card"/>
  </r>
  <r>
    <s v="ORD1056"/>
    <s v="2025-05-27"/>
    <s v="CUST131"/>
    <x v="4"/>
    <x v="2"/>
    <x v="7"/>
    <s v="Accessories"/>
    <n v="3"/>
    <n v="4500"/>
    <n v="0.15"/>
    <x v="54"/>
    <n v="9389.2099999999991"/>
    <n v="2085.79"/>
    <s v="Debit Card"/>
  </r>
  <r>
    <s v="ORD1057"/>
    <s v="2025-03-20"/>
    <s v="CUST128"/>
    <x v="0"/>
    <x v="2"/>
    <x v="0"/>
    <s v="Electronics"/>
    <n v="2"/>
    <n v="12500"/>
    <n v="0.05"/>
    <x v="55"/>
    <n v="18915.18"/>
    <n v="4834.82"/>
    <s v="Net Banking"/>
  </r>
  <r>
    <s v="ORD1058"/>
    <s v="2025-08-04"/>
    <s v="CUST150"/>
    <x v="6"/>
    <x v="0"/>
    <x v="4"/>
    <s v="Office Equipment"/>
    <n v="4"/>
    <n v="20800"/>
    <n v="0.15"/>
    <x v="56"/>
    <n v="57612.1"/>
    <n v="13107.9"/>
    <s v="UPI"/>
  </r>
  <r>
    <s v="ORD1059"/>
    <s v="2025-07-19"/>
    <s v="CUST154"/>
    <x v="1"/>
    <x v="0"/>
    <x v="2"/>
    <s v="Electronics"/>
    <n v="1"/>
    <n v="36400"/>
    <n v="0.1"/>
    <x v="57"/>
    <n v="26925.9"/>
    <n v="5834.1"/>
    <s v="Cash"/>
  </r>
  <r>
    <s v="ORD1060"/>
    <s v="2025-01-15"/>
    <s v="CUST150"/>
    <x v="3"/>
    <x v="0"/>
    <x v="5"/>
    <s v="Accessories"/>
    <n v="2"/>
    <n v="2000"/>
    <n v="0.1"/>
    <x v="14"/>
    <n v="3068.67"/>
    <n v="531.33000000000004"/>
    <s v="Net Banking"/>
  </r>
  <r>
    <s v="ORD1061"/>
    <s v="2025-10-31"/>
    <s v="CUST173"/>
    <x v="8"/>
    <x v="1"/>
    <x v="3"/>
    <s v="Accessories"/>
    <n v="2"/>
    <n v="3700"/>
    <n v="0"/>
    <x v="58"/>
    <n v="6374.25"/>
    <n v="1025.75"/>
    <s v="Net Banking"/>
  </r>
  <r>
    <s v="ORD1062"/>
    <s v="2025-06-17"/>
    <s v="CUST128"/>
    <x v="9"/>
    <x v="2"/>
    <x v="3"/>
    <s v="Accessories"/>
    <n v="2"/>
    <n v="3700"/>
    <n v="0"/>
    <x v="58"/>
    <n v="5417.03"/>
    <n v="1982.97"/>
    <s v="Debit Card"/>
  </r>
  <r>
    <s v="ORD1063"/>
    <s v="2025-08-29"/>
    <s v="CUST103"/>
    <x v="1"/>
    <x v="1"/>
    <x v="2"/>
    <s v="Electronics"/>
    <n v="4"/>
    <n v="26200"/>
    <n v="0.1"/>
    <x v="6"/>
    <n v="88763.73"/>
    <n v="5556.27"/>
    <s v="Debit Card"/>
  </r>
  <r>
    <s v="ORD1064"/>
    <s v="2025-05-07"/>
    <s v="CUST126"/>
    <x v="8"/>
    <x v="0"/>
    <x v="5"/>
    <s v="Accessories"/>
    <n v="1"/>
    <n v="2500"/>
    <n v="0"/>
    <x v="59"/>
    <n v="2077.12"/>
    <n v="422.88"/>
    <s v="Credit Card"/>
  </r>
  <r>
    <s v="ORD1065"/>
    <s v="2025-04-22"/>
    <s v="CUST160"/>
    <x v="4"/>
    <x v="2"/>
    <x v="5"/>
    <s v="Accessories"/>
    <n v="4"/>
    <n v="900"/>
    <n v="0"/>
    <x v="14"/>
    <n v="2854.06"/>
    <n v="745.94"/>
    <s v="Credit Card"/>
  </r>
  <r>
    <s v="ORD1066"/>
    <s v="2025-01-14"/>
    <s v="CUST140"/>
    <x v="6"/>
    <x v="0"/>
    <x v="0"/>
    <s v="Electronics"/>
    <n v="2"/>
    <n v="28900"/>
    <n v="0.1"/>
    <x v="60"/>
    <n v="40553.620000000003"/>
    <n v="11466.38"/>
    <s v="Net Banking"/>
  </r>
  <r>
    <s v="ORD1067"/>
    <s v="2025-11-18"/>
    <s v="CUST132"/>
    <x v="0"/>
    <x v="0"/>
    <x v="2"/>
    <s v="Electronics"/>
    <n v="2"/>
    <n v="48600"/>
    <n v="0"/>
    <x v="61"/>
    <n v="77606.38"/>
    <n v="19593.62"/>
    <s v="Debit Card"/>
  </r>
  <r>
    <s v="ORD1068"/>
    <s v="2025-08-08"/>
    <s v="CUST148"/>
    <x v="0"/>
    <x v="0"/>
    <x v="0"/>
    <s v="Electronics"/>
    <n v="5"/>
    <n v="29300"/>
    <n v="0"/>
    <x v="62"/>
    <n v="109793.07"/>
    <n v="36706.93"/>
    <s v="Debit Card"/>
  </r>
  <r>
    <s v="ORD1069"/>
    <s v="2025-07-05"/>
    <s v="CUST159"/>
    <x v="7"/>
    <x v="2"/>
    <x v="1"/>
    <s v="Electronics"/>
    <n v="4"/>
    <n v="66500"/>
    <n v="0"/>
    <x v="63"/>
    <n v="203943.44"/>
    <n v="62056.56"/>
    <s v="Credit Card"/>
  </r>
  <r>
    <s v="ORD1070"/>
    <s v="2025-10-31"/>
    <s v="CUST135"/>
    <x v="3"/>
    <x v="1"/>
    <x v="6"/>
    <s v="Accessories"/>
    <n v="5"/>
    <n v="5100"/>
    <n v="0.15"/>
    <x v="64"/>
    <n v="19710.86"/>
    <n v="1964.14"/>
    <s v="UPI"/>
  </r>
  <r>
    <s v="ORD1071"/>
    <s v="2025-10-19"/>
    <s v="CUST179"/>
    <x v="2"/>
    <x v="2"/>
    <x v="6"/>
    <s v="Accessories"/>
    <n v="4"/>
    <n v="6800"/>
    <n v="0.05"/>
    <x v="65"/>
    <n v="22578.59"/>
    <n v="3261.41"/>
    <s v="UPI"/>
  </r>
  <r>
    <s v="ORD1072"/>
    <s v="2025-05-13"/>
    <s v="CUST144"/>
    <x v="4"/>
    <x v="0"/>
    <x v="7"/>
    <s v="Accessories"/>
    <n v="2"/>
    <n v="5600"/>
    <n v="0.15"/>
    <x v="66"/>
    <n v="8091.15"/>
    <n v="1428.85"/>
    <s v="Debit Card"/>
  </r>
  <r>
    <s v="ORD1073"/>
    <s v="2025-07-28"/>
    <s v="CUST163"/>
    <x v="1"/>
    <x v="1"/>
    <x v="1"/>
    <s v="Electronics"/>
    <n v="2"/>
    <n v="71400"/>
    <n v="0"/>
    <x v="67"/>
    <n v="103997.13"/>
    <n v="38802.870000000003"/>
    <s v="Net Banking"/>
  </r>
  <r>
    <s v="ORD1074"/>
    <s v="2025-07-27"/>
    <s v="CUST132"/>
    <x v="4"/>
    <x v="0"/>
    <x v="7"/>
    <s v="Accessories"/>
    <n v="1"/>
    <n v="7200"/>
    <n v="0"/>
    <x v="68"/>
    <n v="5319.7"/>
    <n v="1880.3"/>
    <s v="Cash"/>
  </r>
  <r>
    <s v="ORD1075"/>
    <s v="2025-10-09"/>
    <s v="CUST143"/>
    <x v="3"/>
    <x v="0"/>
    <x v="4"/>
    <s v="Office Equipment"/>
    <n v="5"/>
    <n v="19100"/>
    <n v="0.1"/>
    <x v="69"/>
    <n v="73067.12"/>
    <n v="12882.88"/>
    <s v="Net Banking"/>
  </r>
  <r>
    <s v="ORD1076"/>
    <s v="2025-04-09"/>
    <s v="CUST141"/>
    <x v="0"/>
    <x v="0"/>
    <x v="6"/>
    <s v="Accessories"/>
    <n v="3"/>
    <n v="3100"/>
    <n v="0.05"/>
    <x v="70"/>
    <n v="6548.42"/>
    <n v="2286.58"/>
    <s v="Cash"/>
  </r>
  <r>
    <s v="ORD1077"/>
    <s v="2025-10-29"/>
    <s v="CUST168"/>
    <x v="6"/>
    <x v="2"/>
    <x v="3"/>
    <s v="Accessories"/>
    <n v="2"/>
    <n v="2000"/>
    <n v="0.15"/>
    <x v="71"/>
    <n v="2941.2"/>
    <n v="458.8"/>
    <s v="UPI"/>
  </r>
  <r>
    <s v="ORD1078"/>
    <s v="2025-01-08"/>
    <s v="CUST169"/>
    <x v="7"/>
    <x v="2"/>
    <x v="5"/>
    <s v="Accessories"/>
    <n v="2"/>
    <n v="1400"/>
    <n v="0.1"/>
    <x v="72"/>
    <n v="2004.49"/>
    <n v="515.51"/>
    <s v="UPI"/>
  </r>
  <r>
    <s v="ORD1079"/>
    <s v="2025-09-09"/>
    <s v="CUST114"/>
    <x v="8"/>
    <x v="0"/>
    <x v="1"/>
    <s v="Electronics"/>
    <n v="3"/>
    <n v="73300"/>
    <n v="0.05"/>
    <x v="73"/>
    <n v="177585.51"/>
    <n v="31319.49"/>
    <s v="Debit Card"/>
  </r>
  <r>
    <s v="ORD1080"/>
    <s v="2025-01-27"/>
    <s v="CUST133"/>
    <x v="9"/>
    <x v="1"/>
    <x v="7"/>
    <s v="Accessories"/>
    <n v="4"/>
    <n v="7600"/>
    <n v="0.1"/>
    <x v="0"/>
    <n v="21792.93"/>
    <n v="5567.07"/>
    <s v="UPI"/>
  </r>
  <r>
    <s v="ORD1081"/>
    <s v="2025-10-16"/>
    <s v="CUST139"/>
    <x v="0"/>
    <x v="1"/>
    <x v="2"/>
    <s v="Electronics"/>
    <n v="1"/>
    <n v="37100"/>
    <n v="0"/>
    <x v="74"/>
    <n v="26353.81"/>
    <n v="10746.19"/>
    <s v="UPI"/>
  </r>
  <r>
    <s v="ORD1082"/>
    <s v="2025-07-14"/>
    <s v="CUST158"/>
    <x v="9"/>
    <x v="2"/>
    <x v="2"/>
    <s v="Electronics"/>
    <n v="5"/>
    <n v="43000"/>
    <n v="0.05"/>
    <x v="75"/>
    <n v="179554.82"/>
    <n v="24695.18"/>
    <s v="Cash"/>
  </r>
  <r>
    <s v="ORD1083"/>
    <s v="2025-02-20"/>
    <s v="CUST127"/>
    <x v="5"/>
    <x v="2"/>
    <x v="2"/>
    <s v="Electronics"/>
    <n v="5"/>
    <n v="27600"/>
    <n v="0"/>
    <x v="76"/>
    <n v="110665.81"/>
    <n v="27334.19"/>
    <s v="UPI"/>
  </r>
  <r>
    <s v="ORD1084"/>
    <s v="2025-07-29"/>
    <s v="CUST158"/>
    <x v="6"/>
    <x v="2"/>
    <x v="3"/>
    <s v="Accessories"/>
    <n v="2"/>
    <n v="2300"/>
    <n v="0"/>
    <x v="77"/>
    <n v="3272.01"/>
    <n v="1327.99"/>
    <s v="Debit Card"/>
  </r>
  <r>
    <s v="ORD1085"/>
    <s v="2025-08-21"/>
    <s v="CUST110"/>
    <x v="5"/>
    <x v="2"/>
    <x v="1"/>
    <s v="Electronics"/>
    <n v="3"/>
    <n v="56800"/>
    <n v="0.1"/>
    <x v="78"/>
    <n v="139829.82"/>
    <n v="13530.18"/>
    <s v="Cash"/>
  </r>
  <r>
    <s v="ORD1086"/>
    <s v="2025-05-17"/>
    <s v="CUST119"/>
    <x v="0"/>
    <x v="1"/>
    <x v="5"/>
    <s v="Accessories"/>
    <n v="1"/>
    <n v="1800"/>
    <n v="0.05"/>
    <x v="79"/>
    <n v="1457.15"/>
    <n v="252.85"/>
    <s v="Credit Card"/>
  </r>
  <r>
    <s v="ORD1087"/>
    <s v="2025-08-28"/>
    <s v="CUST139"/>
    <x v="2"/>
    <x v="2"/>
    <x v="6"/>
    <s v="Accessories"/>
    <n v="5"/>
    <n v="5000"/>
    <n v="0.1"/>
    <x v="80"/>
    <n v="19195.77"/>
    <n v="3304.23"/>
    <s v="Cash"/>
  </r>
  <r>
    <s v="ORD1088"/>
    <s v="2025-06-15"/>
    <s v="CUST178"/>
    <x v="4"/>
    <x v="1"/>
    <x v="7"/>
    <s v="Accessories"/>
    <n v="1"/>
    <n v="7100"/>
    <n v="0"/>
    <x v="81"/>
    <n v="6090.98"/>
    <n v="1009.02"/>
    <s v="UPI"/>
  </r>
  <r>
    <s v="ORD1089"/>
    <s v="2025-12-11"/>
    <s v="CUST135"/>
    <x v="6"/>
    <x v="1"/>
    <x v="5"/>
    <s v="Accessories"/>
    <n v="5"/>
    <n v="2600"/>
    <n v="0"/>
    <x v="82"/>
    <n v="11438.89"/>
    <n v="1561.11"/>
    <s v="Credit Card"/>
  </r>
  <r>
    <s v="ORD1090"/>
    <s v="2025-10-27"/>
    <s v="CUST156"/>
    <x v="9"/>
    <x v="1"/>
    <x v="7"/>
    <s v="Accessories"/>
    <n v="4"/>
    <n v="8100"/>
    <n v="0.1"/>
    <x v="83"/>
    <n v="23208.05"/>
    <n v="5951.95"/>
    <s v="Net Banking"/>
  </r>
  <r>
    <s v="ORD1091"/>
    <s v="2025-03-24"/>
    <s v="CUST143"/>
    <x v="2"/>
    <x v="0"/>
    <x v="4"/>
    <s v="Office Equipment"/>
    <n v="3"/>
    <n v="17400"/>
    <n v="0.1"/>
    <x v="84"/>
    <n v="42492.19"/>
    <n v="4487.8100000000004"/>
    <s v="Net Banking"/>
  </r>
  <r>
    <s v="ORD1092"/>
    <s v="2025-06-11"/>
    <s v="CUST133"/>
    <x v="3"/>
    <x v="1"/>
    <x v="6"/>
    <s v="Accessories"/>
    <n v="4"/>
    <n v="5400"/>
    <n v="0"/>
    <x v="85"/>
    <n v="16652.849999999999"/>
    <n v="4947.1499999999996"/>
    <s v="Net Banking"/>
  </r>
  <r>
    <s v="ORD1093"/>
    <s v="2025-04-07"/>
    <s v="CUST167"/>
    <x v="3"/>
    <x v="0"/>
    <x v="1"/>
    <s v="Electronics"/>
    <n v="5"/>
    <n v="78600"/>
    <n v="0.15"/>
    <x v="86"/>
    <n v="299721.26"/>
    <n v="34328.74"/>
    <s v="Net Banking"/>
  </r>
  <r>
    <s v="ORD1094"/>
    <s v="2025-05-28"/>
    <s v="CUST157"/>
    <x v="9"/>
    <x v="1"/>
    <x v="7"/>
    <s v="Accessories"/>
    <n v="2"/>
    <n v="2100"/>
    <n v="0.1"/>
    <x v="87"/>
    <n v="3317.34"/>
    <n v="462.66"/>
    <s v="UPI"/>
  </r>
  <r>
    <s v="ORD1095"/>
    <s v="2025-10-10"/>
    <s v="CUST153"/>
    <x v="0"/>
    <x v="1"/>
    <x v="5"/>
    <s v="Accessories"/>
    <n v="2"/>
    <n v="2700"/>
    <n v="0.1"/>
    <x v="88"/>
    <n v="4266.91"/>
    <n v="593.09"/>
    <s v="UPI"/>
  </r>
  <r>
    <s v="ORD1096"/>
    <s v="2025-05-30"/>
    <s v="CUST166"/>
    <x v="4"/>
    <x v="2"/>
    <x v="7"/>
    <s v="Accessories"/>
    <n v="2"/>
    <n v="3000"/>
    <n v="0.15"/>
    <x v="89"/>
    <n v="5199.18"/>
    <n v="-99.18"/>
    <s v="Net Banking"/>
  </r>
  <r>
    <s v="ORD1097"/>
    <s v="2025-11-03"/>
    <s v="CUST166"/>
    <x v="7"/>
    <x v="1"/>
    <x v="7"/>
    <s v="Accessories"/>
    <n v="4"/>
    <n v="4600"/>
    <n v="0.05"/>
    <x v="90"/>
    <n v="13923.6"/>
    <n v="3556.4"/>
    <s v="Debit Card"/>
  </r>
  <r>
    <s v="ORD1098"/>
    <s v="2025-05-25"/>
    <s v="CUST139"/>
    <x v="6"/>
    <x v="0"/>
    <x v="2"/>
    <s v="Electronics"/>
    <n v="5"/>
    <n v="29400"/>
    <n v="0.1"/>
    <x v="91"/>
    <n v="124084.15"/>
    <n v="8215.85"/>
    <s v="Net Banking"/>
  </r>
  <r>
    <s v="ORD1099"/>
    <s v="2025-10-10"/>
    <s v="CUST170"/>
    <x v="2"/>
    <x v="2"/>
    <x v="3"/>
    <s v="Accessories"/>
    <n v="5"/>
    <n v="3600"/>
    <n v="0.15"/>
    <x v="17"/>
    <n v="13482.45"/>
    <n v="1817.55"/>
    <s v="Debit Card"/>
  </r>
  <r>
    <s v="ORD1100"/>
    <s v="2025-07-30"/>
    <s v="CUST106"/>
    <x v="3"/>
    <x v="0"/>
    <x v="5"/>
    <s v="Accessories"/>
    <n v="2"/>
    <n v="2700"/>
    <n v="0.15"/>
    <x v="92"/>
    <n v="3924.25"/>
    <n v="665.75"/>
    <s v="Net Banking"/>
  </r>
  <r>
    <s v="ORD1101"/>
    <s v="2025-03-06"/>
    <s v="CUST165"/>
    <x v="6"/>
    <x v="2"/>
    <x v="2"/>
    <s v="Electronics"/>
    <n v="2"/>
    <n v="31700"/>
    <n v="0.15"/>
    <x v="93"/>
    <n v="55345.97"/>
    <n v="-1455.97"/>
    <s v="UPI"/>
  </r>
  <r>
    <s v="ORD1102"/>
    <s v="2025-03-15"/>
    <s v="CUST153"/>
    <x v="7"/>
    <x v="1"/>
    <x v="7"/>
    <s v="Accessories"/>
    <n v="5"/>
    <n v="2700"/>
    <n v="0.15"/>
    <x v="54"/>
    <n v="9221.44"/>
    <n v="2253.56"/>
    <s v="Net Banking"/>
  </r>
  <r>
    <s v="ORD1103"/>
    <s v="2025-06-18"/>
    <s v="CUST169"/>
    <x v="2"/>
    <x v="2"/>
    <x v="6"/>
    <s v="Accessories"/>
    <n v="5"/>
    <n v="3300"/>
    <n v="0.15"/>
    <x v="94"/>
    <n v="13364.46"/>
    <n v="660.54"/>
    <s v="Net Banking"/>
  </r>
  <r>
    <s v="ORD1104"/>
    <s v="2025-05-28"/>
    <s v="CUST130"/>
    <x v="0"/>
    <x v="2"/>
    <x v="1"/>
    <s v="Electronics"/>
    <n v="1"/>
    <n v="76600"/>
    <n v="0.05"/>
    <x v="95"/>
    <n v="61757.39"/>
    <n v="11012.61"/>
    <s v="UPI"/>
  </r>
  <r>
    <s v="ORD1105"/>
    <s v="2025-01-24"/>
    <s v="CUST142"/>
    <x v="8"/>
    <x v="2"/>
    <x v="0"/>
    <s v="Electronics"/>
    <n v="2"/>
    <n v="20300"/>
    <n v="0.1"/>
    <x v="96"/>
    <n v="34943.800000000003"/>
    <n v="1596.2"/>
    <s v="Debit Card"/>
  </r>
  <r>
    <s v="ORD1106"/>
    <s v="2025-10-17"/>
    <s v="CUST124"/>
    <x v="7"/>
    <x v="1"/>
    <x v="4"/>
    <s v="Office Equipment"/>
    <n v="2"/>
    <n v="18000"/>
    <n v="0.05"/>
    <x v="97"/>
    <n v="28304.400000000001"/>
    <n v="5895.6"/>
    <s v="UPI"/>
  </r>
  <r>
    <s v="ORD1107"/>
    <s v="2025-03-15"/>
    <s v="CUST130"/>
    <x v="9"/>
    <x v="0"/>
    <x v="2"/>
    <s v="Electronics"/>
    <n v="2"/>
    <n v="43700"/>
    <n v="0.15"/>
    <x v="98"/>
    <n v="75388.25"/>
    <n v="-1098.25"/>
    <s v="Debit Card"/>
  </r>
  <r>
    <s v="ORD1108"/>
    <s v="2025-12-13"/>
    <s v="CUST170"/>
    <x v="7"/>
    <x v="1"/>
    <x v="7"/>
    <s v="Accessories"/>
    <n v="1"/>
    <n v="4700"/>
    <n v="0.15"/>
    <x v="99"/>
    <n v="4043.14"/>
    <n v="-48.14"/>
    <s v="Net Banking"/>
  </r>
  <r>
    <s v="ORD1109"/>
    <s v="2025-08-22"/>
    <s v="CUST139"/>
    <x v="5"/>
    <x v="2"/>
    <x v="4"/>
    <s v="Office Equipment"/>
    <n v="3"/>
    <n v="22000"/>
    <n v="0.15"/>
    <x v="100"/>
    <n v="53992.14"/>
    <n v="2107.86"/>
    <s v="Net Banking"/>
  </r>
  <r>
    <s v="ORD1110"/>
    <s v="2025-12-25"/>
    <s v="CUST138"/>
    <x v="8"/>
    <x v="0"/>
    <x v="0"/>
    <s v="Electronics"/>
    <n v="4"/>
    <n v="15000"/>
    <n v="0.1"/>
    <x v="101"/>
    <n v="47697.74"/>
    <n v="6302.26"/>
    <s v="Net Banking"/>
  </r>
  <r>
    <s v="ORD1111"/>
    <s v="2025-09-12"/>
    <s v="CUST137"/>
    <x v="5"/>
    <x v="0"/>
    <x v="6"/>
    <s v="Accessories"/>
    <n v="5"/>
    <n v="1200"/>
    <n v="0"/>
    <x v="28"/>
    <n v="5172.74"/>
    <n v="827.26"/>
    <s v="Debit Card"/>
  </r>
  <r>
    <s v="ORD1112"/>
    <s v="2025-12-04"/>
    <s v="CUST118"/>
    <x v="0"/>
    <x v="0"/>
    <x v="5"/>
    <s v="Accessories"/>
    <n v="2"/>
    <n v="2500"/>
    <n v="0.1"/>
    <x v="102"/>
    <n v="4077.76"/>
    <n v="422.24"/>
    <s v="UPI"/>
  </r>
  <r>
    <s v="ORD1113"/>
    <s v="2025-03-09"/>
    <s v="CUST112"/>
    <x v="4"/>
    <x v="2"/>
    <x v="6"/>
    <s v="Accessories"/>
    <n v="4"/>
    <n v="6200"/>
    <n v="0"/>
    <x v="103"/>
    <n v="19738.689999999999"/>
    <n v="5061.3100000000004"/>
    <s v="Net Banking"/>
  </r>
  <r>
    <s v="ORD1114"/>
    <s v="2025-05-20"/>
    <s v="CUST122"/>
    <x v="4"/>
    <x v="2"/>
    <x v="3"/>
    <s v="Accessories"/>
    <n v="2"/>
    <n v="2000"/>
    <n v="0.1"/>
    <x v="14"/>
    <n v="3144.68"/>
    <n v="455.32"/>
    <s v="Debit Card"/>
  </r>
  <r>
    <s v="ORD1115"/>
    <s v="2025-03-14"/>
    <s v="CUST129"/>
    <x v="2"/>
    <x v="0"/>
    <x v="4"/>
    <s v="Office Equipment"/>
    <n v="1"/>
    <n v="27500"/>
    <n v="0.15"/>
    <x v="104"/>
    <n v="23995.91"/>
    <n v="-620.91"/>
    <s v="Debit Card"/>
  </r>
  <r>
    <s v="ORD1116"/>
    <s v="2025-03-05"/>
    <s v="CUST159"/>
    <x v="3"/>
    <x v="0"/>
    <x v="0"/>
    <s v="Electronics"/>
    <n v="4"/>
    <n v="29200"/>
    <n v="0"/>
    <x v="105"/>
    <n v="85601.75"/>
    <n v="31198.25"/>
    <s v="Debit Card"/>
  </r>
  <r>
    <s v="ORD1117"/>
    <s v="2025-08-30"/>
    <s v="CUST104"/>
    <x v="6"/>
    <x v="0"/>
    <x v="2"/>
    <s v="Electronics"/>
    <n v="3"/>
    <n v="54100"/>
    <n v="0"/>
    <x v="106"/>
    <n v="132269.19"/>
    <n v="30030.81"/>
    <s v="Debit Card"/>
  </r>
  <r>
    <s v="ORD1118"/>
    <s v="2025-06-04"/>
    <s v="CUST153"/>
    <x v="0"/>
    <x v="1"/>
    <x v="5"/>
    <s v="Accessories"/>
    <n v="1"/>
    <n v="2500"/>
    <n v="0.15"/>
    <x v="107"/>
    <n v="2154.69"/>
    <n v="-29.69"/>
    <s v="UPI"/>
  </r>
  <r>
    <s v="ORD1119"/>
    <s v="2025-10-03"/>
    <s v="CUST118"/>
    <x v="2"/>
    <x v="2"/>
    <x v="1"/>
    <s v="Electronics"/>
    <n v="4"/>
    <n v="60500"/>
    <n v="0"/>
    <x v="108"/>
    <n v="169264.09"/>
    <n v="72735.91"/>
    <s v="Debit Card"/>
  </r>
  <r>
    <s v="ORD1120"/>
    <s v="2025-09-08"/>
    <s v="CUST179"/>
    <x v="2"/>
    <x v="2"/>
    <x v="2"/>
    <s v="Electronics"/>
    <n v="2"/>
    <n v="42000"/>
    <n v="0.15"/>
    <x v="109"/>
    <n v="68122.69"/>
    <n v="3277.31"/>
    <s v="UPI"/>
  </r>
  <r>
    <s v="ORD1121"/>
    <s v="2025-07-05"/>
    <s v="CUST113"/>
    <x v="3"/>
    <x v="0"/>
    <x v="4"/>
    <s v="Office Equipment"/>
    <n v="4"/>
    <n v="12500"/>
    <n v="0.15"/>
    <x v="110"/>
    <n v="43505.55"/>
    <n v="-1005.55"/>
    <s v="Debit Card"/>
  </r>
  <r>
    <s v="ORD1122"/>
    <s v="2025-08-21"/>
    <s v="CUST112"/>
    <x v="5"/>
    <x v="0"/>
    <x v="1"/>
    <s v="Electronics"/>
    <n v="3"/>
    <n v="65300"/>
    <n v="0.05"/>
    <x v="111"/>
    <n v="171146.35"/>
    <n v="14958.65"/>
    <s v="Cash"/>
  </r>
  <r>
    <s v="ORD1123"/>
    <s v="2025-10-17"/>
    <s v="CUST127"/>
    <x v="0"/>
    <x v="0"/>
    <x v="1"/>
    <s v="Electronics"/>
    <n v="3"/>
    <n v="47500"/>
    <n v="0.05"/>
    <x v="112"/>
    <n v="125081.4"/>
    <n v="10293.6"/>
    <s v="Credit Card"/>
  </r>
  <r>
    <s v="ORD1124"/>
    <s v="2025-11-02"/>
    <s v="CUST101"/>
    <x v="4"/>
    <x v="1"/>
    <x v="5"/>
    <s v="Accessories"/>
    <n v="3"/>
    <n v="1200"/>
    <n v="0.05"/>
    <x v="113"/>
    <n v="3015.82"/>
    <n v="404.18"/>
    <s v="Credit Card"/>
  </r>
  <r>
    <s v="ORD1125"/>
    <s v="2025-01-14"/>
    <s v="CUST117"/>
    <x v="8"/>
    <x v="2"/>
    <x v="6"/>
    <s v="Accessories"/>
    <n v="2"/>
    <n v="6300"/>
    <n v="0"/>
    <x v="10"/>
    <n v="10233.870000000001"/>
    <n v="2366.13"/>
    <s v="Credit Card"/>
  </r>
  <r>
    <s v="ORD1126"/>
    <s v="2025-08-04"/>
    <s v="CUST168"/>
    <x v="0"/>
    <x v="0"/>
    <x v="4"/>
    <s v="Office Equipment"/>
    <n v="2"/>
    <n v="7400"/>
    <n v="0.1"/>
    <x v="114"/>
    <n v="10219.1"/>
    <n v="3100.9"/>
    <s v="UPI"/>
  </r>
  <r>
    <s v="ORD1127"/>
    <s v="2025-04-24"/>
    <s v="CUST179"/>
    <x v="8"/>
    <x v="0"/>
    <x v="7"/>
    <s v="Accessories"/>
    <n v="3"/>
    <n v="7200"/>
    <n v="0"/>
    <x v="85"/>
    <n v="16640.66"/>
    <n v="4959.34"/>
    <s v="Cash"/>
  </r>
  <r>
    <s v="ORD1128"/>
    <s v="2025-07-25"/>
    <s v="CUST155"/>
    <x v="0"/>
    <x v="2"/>
    <x v="6"/>
    <s v="Accessories"/>
    <n v="1"/>
    <n v="4100"/>
    <n v="0"/>
    <x v="115"/>
    <n v="3606.84"/>
    <n v="493.16"/>
    <s v="Net Banking"/>
  </r>
  <r>
    <s v="ORD1129"/>
    <s v="2025-05-21"/>
    <s v="CUST180"/>
    <x v="6"/>
    <x v="0"/>
    <x v="0"/>
    <s v="Electronics"/>
    <n v="3"/>
    <n v="11000"/>
    <n v="0.05"/>
    <x v="116"/>
    <n v="22873.5"/>
    <n v="8476.5"/>
    <s v="Debit Card"/>
  </r>
  <r>
    <s v="ORD1130"/>
    <s v="2025-11-06"/>
    <s v="CUST156"/>
    <x v="0"/>
    <x v="0"/>
    <x v="2"/>
    <s v="Electronics"/>
    <n v="5"/>
    <n v="42500"/>
    <n v="0.1"/>
    <x v="117"/>
    <n v="163782.91"/>
    <n v="27467.09"/>
    <s v="UPI"/>
  </r>
  <r>
    <s v="ORD1131"/>
    <s v="2025-08-21"/>
    <s v="CUST152"/>
    <x v="2"/>
    <x v="0"/>
    <x v="5"/>
    <s v="Accessories"/>
    <n v="4"/>
    <n v="1800"/>
    <n v="0.05"/>
    <x v="118"/>
    <n v="5491.89"/>
    <n v="1348.11"/>
    <s v="UPI"/>
  </r>
  <r>
    <s v="ORD1132"/>
    <s v="2025-03-20"/>
    <s v="CUST161"/>
    <x v="0"/>
    <x v="1"/>
    <x v="4"/>
    <s v="Office Equipment"/>
    <n v="3"/>
    <n v="17900"/>
    <n v="0.1"/>
    <x v="119"/>
    <n v="40535.99"/>
    <n v="7794.01"/>
    <s v="UPI"/>
  </r>
  <r>
    <s v="ORD1133"/>
    <s v="2025-10-12"/>
    <s v="CUST108"/>
    <x v="6"/>
    <x v="0"/>
    <x v="0"/>
    <s v="Electronics"/>
    <n v="1"/>
    <n v="20000"/>
    <n v="0.1"/>
    <x v="120"/>
    <n v="16847.080000000002"/>
    <n v="1152.92"/>
    <s v="Cash"/>
  </r>
  <r>
    <s v="ORD1134"/>
    <s v="2025-12-07"/>
    <s v="CUST155"/>
    <x v="8"/>
    <x v="2"/>
    <x v="4"/>
    <s v="Office Equipment"/>
    <n v="1"/>
    <n v="24100"/>
    <n v="0.15"/>
    <x v="121"/>
    <n v="18092.34"/>
    <n v="2392.66"/>
    <s v="Cash"/>
  </r>
  <r>
    <s v="ORD1135"/>
    <s v="2025-09-04"/>
    <s v="CUST129"/>
    <x v="0"/>
    <x v="2"/>
    <x v="6"/>
    <s v="Accessories"/>
    <n v="1"/>
    <n v="3400"/>
    <n v="0.05"/>
    <x v="122"/>
    <n v="2417.2199999999998"/>
    <n v="812.78"/>
    <s v="Cash"/>
  </r>
  <r>
    <s v="ORD1136"/>
    <s v="2025-10-15"/>
    <s v="CUST180"/>
    <x v="6"/>
    <x v="0"/>
    <x v="4"/>
    <s v="Office Equipment"/>
    <n v="3"/>
    <n v="9900"/>
    <n v="0.05"/>
    <x v="123"/>
    <n v="24990.89"/>
    <n v="3224.11"/>
    <s v="Cash"/>
  </r>
  <r>
    <s v="ORD1137"/>
    <s v="2025-12-26"/>
    <s v="CUST140"/>
    <x v="3"/>
    <x v="2"/>
    <x v="1"/>
    <s v="Electronics"/>
    <n v="3"/>
    <n v="76100"/>
    <n v="0"/>
    <x v="124"/>
    <n v="163481.79999999999"/>
    <n v="64818.2"/>
    <s v="UPI"/>
  </r>
  <r>
    <s v="ORD1138"/>
    <s v="2025-11-21"/>
    <s v="CUST104"/>
    <x v="0"/>
    <x v="0"/>
    <x v="3"/>
    <s v="Accessories"/>
    <n v="5"/>
    <n v="1700"/>
    <n v="0.15"/>
    <x v="125"/>
    <n v="5898.3"/>
    <n v="1326.7"/>
    <s v="Cash"/>
  </r>
  <r>
    <s v="ORD1139"/>
    <s v="2025-07-09"/>
    <s v="CUST140"/>
    <x v="3"/>
    <x v="0"/>
    <x v="5"/>
    <s v="Accessories"/>
    <n v="4"/>
    <n v="1700"/>
    <n v="0.15"/>
    <x v="126"/>
    <n v="5087.62"/>
    <n v="692.38"/>
    <s v="Cash"/>
  </r>
  <r>
    <s v="ORD1140"/>
    <s v="2025-01-26"/>
    <s v="CUST111"/>
    <x v="4"/>
    <x v="2"/>
    <x v="0"/>
    <s v="Electronics"/>
    <n v="2"/>
    <n v="10300"/>
    <n v="0.05"/>
    <x v="127"/>
    <n v="17116.28"/>
    <n v="2453.7199999999998"/>
    <s v="Net Banking"/>
  </r>
  <r>
    <s v="ORD1141"/>
    <s v="2025-09-20"/>
    <s v="CUST115"/>
    <x v="3"/>
    <x v="2"/>
    <x v="7"/>
    <s v="Accessories"/>
    <n v="4"/>
    <n v="7100"/>
    <n v="0.1"/>
    <x v="128"/>
    <n v="20536.43"/>
    <n v="5023.57"/>
    <s v="UPI"/>
  </r>
  <r>
    <s v="ORD1142"/>
    <s v="2025-06-07"/>
    <s v="CUST106"/>
    <x v="5"/>
    <x v="2"/>
    <x v="6"/>
    <s v="Accessories"/>
    <n v="5"/>
    <n v="5500"/>
    <n v="0.15"/>
    <x v="104"/>
    <n v="21598.14"/>
    <n v="1776.86"/>
    <s v="Cash"/>
  </r>
  <r>
    <s v="ORD1143"/>
    <s v="2025-03-12"/>
    <s v="CUST133"/>
    <x v="4"/>
    <x v="2"/>
    <x v="1"/>
    <s v="Electronics"/>
    <n v="2"/>
    <n v="45300"/>
    <n v="0.1"/>
    <x v="129"/>
    <n v="78737.27"/>
    <n v="2802.73"/>
    <s v="UPI"/>
  </r>
  <r>
    <s v="ORD1144"/>
    <s v="2025-09-30"/>
    <s v="CUST130"/>
    <x v="1"/>
    <x v="0"/>
    <x v="1"/>
    <s v="Electronics"/>
    <n v="4"/>
    <n v="70400"/>
    <n v="0.05"/>
    <x v="130"/>
    <n v="198763.74"/>
    <n v="68756.259999999995"/>
    <s v="Debit Card"/>
  </r>
  <r>
    <s v="ORD1145"/>
    <s v="2025-02-09"/>
    <s v="CUST141"/>
    <x v="6"/>
    <x v="2"/>
    <x v="0"/>
    <s v="Electronics"/>
    <n v="1"/>
    <n v="19100"/>
    <n v="0.15"/>
    <x v="131"/>
    <n v="13059.59"/>
    <n v="3175.41"/>
    <s v="Cash"/>
  </r>
  <r>
    <s v="ORD1146"/>
    <s v="2025-01-11"/>
    <s v="CUST142"/>
    <x v="7"/>
    <x v="0"/>
    <x v="2"/>
    <s v="Electronics"/>
    <n v="4"/>
    <n v="48300"/>
    <n v="0.1"/>
    <x v="132"/>
    <n v="135826.29999999999"/>
    <n v="38053.699999999997"/>
    <s v="Net Banking"/>
  </r>
  <r>
    <s v="ORD1147"/>
    <s v="2025-10-29"/>
    <s v="CUST152"/>
    <x v="1"/>
    <x v="1"/>
    <x v="4"/>
    <s v="Office Equipment"/>
    <n v="4"/>
    <n v="9200"/>
    <n v="0"/>
    <x v="133"/>
    <n v="26814.81"/>
    <n v="9985.19"/>
    <s v="Net Banking"/>
  </r>
  <r>
    <s v="ORD1148"/>
    <s v="2025-03-28"/>
    <s v="CUST110"/>
    <x v="1"/>
    <x v="0"/>
    <x v="6"/>
    <s v="Accessories"/>
    <n v="3"/>
    <n v="5900"/>
    <n v="0.05"/>
    <x v="134"/>
    <n v="13215.06"/>
    <n v="3599.94"/>
    <s v="UPI"/>
  </r>
  <r>
    <s v="ORD1149"/>
    <s v="2025-11-27"/>
    <s v="CUST119"/>
    <x v="5"/>
    <x v="1"/>
    <x v="5"/>
    <s v="Accessories"/>
    <n v="3"/>
    <n v="2900"/>
    <n v="0.1"/>
    <x v="135"/>
    <n v="7181.64"/>
    <n v="648.36"/>
    <s v="Credit Card"/>
  </r>
  <r>
    <s v="ORD1150"/>
    <s v="2025-12-02"/>
    <s v="CUST110"/>
    <x v="7"/>
    <x v="0"/>
    <x v="6"/>
    <s v="Accessories"/>
    <n v="2"/>
    <n v="2400"/>
    <n v="0.05"/>
    <x v="136"/>
    <n v="3993.81"/>
    <n v="566.19000000000005"/>
    <s v="Net Banking"/>
  </r>
  <r>
    <s v="ORD1151"/>
    <s v="2025-10-17"/>
    <s v="CUST180"/>
    <x v="3"/>
    <x v="0"/>
    <x v="7"/>
    <s v="Accessories"/>
    <n v="5"/>
    <n v="8700"/>
    <n v="0.15"/>
    <x v="137"/>
    <n v="35505.86"/>
    <n v="1469.14"/>
    <s v="Debit Card"/>
  </r>
  <r>
    <s v="ORD1152"/>
    <s v="2025-06-05"/>
    <s v="CUST136"/>
    <x v="6"/>
    <x v="1"/>
    <x v="3"/>
    <s v="Accessories"/>
    <n v="1"/>
    <n v="3600"/>
    <n v="0.15"/>
    <x v="138"/>
    <n v="2766.39"/>
    <n v="293.61"/>
    <s v="Debit Card"/>
  </r>
  <r>
    <s v="ORD1153"/>
    <s v="2025-07-08"/>
    <s v="CUST137"/>
    <x v="0"/>
    <x v="0"/>
    <x v="0"/>
    <s v="Electronics"/>
    <n v="4"/>
    <n v="16900"/>
    <n v="0.15"/>
    <x v="139"/>
    <n v="46476.45"/>
    <n v="10983.55"/>
    <s v="UPI"/>
  </r>
  <r>
    <s v="ORD1154"/>
    <s v="2025-10-20"/>
    <s v="CUST125"/>
    <x v="3"/>
    <x v="0"/>
    <x v="2"/>
    <s v="Electronics"/>
    <n v="5"/>
    <n v="35600"/>
    <n v="0"/>
    <x v="140"/>
    <n v="137050.51999999999"/>
    <n v="40949.480000000003"/>
    <s v="Net Banking"/>
  </r>
  <r>
    <s v="ORD1155"/>
    <s v="2025-06-25"/>
    <s v="CUST111"/>
    <x v="1"/>
    <x v="0"/>
    <x v="3"/>
    <s v="Accessories"/>
    <n v="4"/>
    <n v="1100"/>
    <n v="0"/>
    <x v="141"/>
    <n v="3705.65"/>
    <n v="694.35"/>
    <s v="Credit Card"/>
  </r>
  <r>
    <s v="ORD1156"/>
    <s v="2025-11-09"/>
    <s v="CUST121"/>
    <x v="3"/>
    <x v="2"/>
    <x v="1"/>
    <s v="Electronics"/>
    <n v="4"/>
    <n v="57600"/>
    <n v="0.15"/>
    <x v="142"/>
    <n v="180821.08"/>
    <n v="15018.92"/>
    <s v="Debit Card"/>
  </r>
  <r>
    <s v="ORD1157"/>
    <s v="2025-11-28"/>
    <s v="CUST143"/>
    <x v="0"/>
    <x v="2"/>
    <x v="2"/>
    <s v="Electronics"/>
    <n v="3"/>
    <n v="32900"/>
    <n v="0"/>
    <x v="143"/>
    <n v="82695.34"/>
    <n v="16004.66"/>
    <s v="UPI"/>
  </r>
  <r>
    <s v="ORD1158"/>
    <s v="2025-10-26"/>
    <s v="CUST119"/>
    <x v="3"/>
    <x v="2"/>
    <x v="2"/>
    <s v="Electronics"/>
    <n v="3"/>
    <n v="26500"/>
    <n v="0.05"/>
    <x v="144"/>
    <n v="59360.46"/>
    <n v="16164.54"/>
    <s v="Net Banking"/>
  </r>
  <r>
    <s v="ORD1159"/>
    <s v="2025-06-18"/>
    <s v="CUST117"/>
    <x v="1"/>
    <x v="1"/>
    <x v="3"/>
    <s v="Accessories"/>
    <n v="3"/>
    <n v="1300"/>
    <n v="0.15"/>
    <x v="145"/>
    <n v="3153.92"/>
    <n v="161.08000000000001"/>
    <s v="Net Banking"/>
  </r>
  <r>
    <s v="ORD1160"/>
    <s v="2025-04-20"/>
    <s v="CUST144"/>
    <x v="9"/>
    <x v="1"/>
    <x v="4"/>
    <s v="Office Equipment"/>
    <n v="3"/>
    <n v="7400"/>
    <n v="0.1"/>
    <x v="146"/>
    <n v="15896.37"/>
    <n v="4083.63"/>
    <s v="Credit Card"/>
  </r>
  <r>
    <s v="ORD1161"/>
    <s v="2025-02-21"/>
    <s v="CUST165"/>
    <x v="1"/>
    <x v="0"/>
    <x v="3"/>
    <s v="Accessories"/>
    <n v="1"/>
    <n v="1700"/>
    <n v="0.1"/>
    <x v="147"/>
    <n v="1443.11"/>
    <n v="86.89"/>
    <s v="Cash"/>
  </r>
  <r>
    <s v="ORD1162"/>
    <s v="2025-03-20"/>
    <s v="CUST121"/>
    <x v="7"/>
    <x v="0"/>
    <x v="1"/>
    <s v="Electronics"/>
    <n v="3"/>
    <n v="78800"/>
    <n v="0.05"/>
    <x v="148"/>
    <n v="188989.81"/>
    <n v="35590.19"/>
    <s v="Cash"/>
  </r>
  <r>
    <s v="ORD1163"/>
    <s v="2025-05-02"/>
    <s v="CUST157"/>
    <x v="6"/>
    <x v="2"/>
    <x v="3"/>
    <s v="Accessories"/>
    <n v="1"/>
    <n v="3600"/>
    <n v="0.15"/>
    <x v="138"/>
    <n v="2710.3"/>
    <n v="349.7"/>
    <s v="Net Banking"/>
  </r>
  <r>
    <s v="ORD1164"/>
    <s v="2025-08-29"/>
    <s v="CUST125"/>
    <x v="3"/>
    <x v="0"/>
    <x v="5"/>
    <s v="Accessories"/>
    <n v="2"/>
    <n v="2200"/>
    <n v="0.1"/>
    <x v="149"/>
    <n v="3841.73"/>
    <n v="118.27"/>
    <s v="Cash"/>
  </r>
  <r>
    <s v="ORD1165"/>
    <s v="2025-08-03"/>
    <s v="CUST121"/>
    <x v="5"/>
    <x v="0"/>
    <x v="7"/>
    <s v="Accessories"/>
    <n v="3"/>
    <n v="7400"/>
    <n v="0.15"/>
    <x v="150"/>
    <n v="17328.91"/>
    <n v="1541.09"/>
    <s v="Credit Card"/>
  </r>
  <r>
    <s v="ORD1166"/>
    <s v="2025-02-22"/>
    <s v="CUST167"/>
    <x v="0"/>
    <x v="2"/>
    <x v="6"/>
    <s v="Accessories"/>
    <n v="4"/>
    <n v="1500"/>
    <n v="0.1"/>
    <x v="151"/>
    <n v="4745.45"/>
    <n v="654.54999999999995"/>
    <s v="UPI"/>
  </r>
  <r>
    <s v="ORD1167"/>
    <s v="2025-02-16"/>
    <s v="CUST129"/>
    <x v="9"/>
    <x v="2"/>
    <x v="3"/>
    <s v="Accessories"/>
    <n v="4"/>
    <n v="2500"/>
    <n v="0.05"/>
    <x v="152"/>
    <n v="8462.09"/>
    <n v="1037.9100000000001"/>
    <s v="UPI"/>
  </r>
  <r>
    <s v="ORD1168"/>
    <s v="2025-02-11"/>
    <s v="CUST148"/>
    <x v="5"/>
    <x v="1"/>
    <x v="2"/>
    <s v="Electronics"/>
    <n v="4"/>
    <n v="14700"/>
    <n v="0.1"/>
    <x v="153"/>
    <n v="42756.75"/>
    <n v="10163.25"/>
    <s v="Debit Card"/>
  </r>
  <r>
    <s v="ORD1169"/>
    <s v="2025-05-27"/>
    <s v="CUST161"/>
    <x v="7"/>
    <x v="0"/>
    <x v="0"/>
    <s v="Electronics"/>
    <n v="3"/>
    <n v="27200"/>
    <n v="0.05"/>
    <x v="154"/>
    <n v="57733.63"/>
    <n v="19786.37"/>
    <s v="Net Banking"/>
  </r>
  <r>
    <s v="ORD1170"/>
    <s v="2025-03-18"/>
    <s v="CUST171"/>
    <x v="6"/>
    <x v="0"/>
    <x v="7"/>
    <s v="Accessories"/>
    <n v="1"/>
    <n v="1500"/>
    <n v="0"/>
    <x v="155"/>
    <n v="1096.78"/>
    <n v="403.22"/>
    <s v="Net Banking"/>
  </r>
  <r>
    <s v="ORD1171"/>
    <s v="2025-01-25"/>
    <s v="CUST131"/>
    <x v="2"/>
    <x v="0"/>
    <x v="0"/>
    <s v="Electronics"/>
    <n v="3"/>
    <n v="28800"/>
    <n v="0.05"/>
    <x v="156"/>
    <n v="63955.89"/>
    <n v="18124.11"/>
    <s v="Cash"/>
  </r>
  <r>
    <s v="ORD1172"/>
    <s v="2025-01-09"/>
    <s v="CUST166"/>
    <x v="6"/>
    <x v="1"/>
    <x v="7"/>
    <s v="Accessories"/>
    <n v="1"/>
    <n v="2300"/>
    <n v="0.15"/>
    <x v="157"/>
    <n v="1838.5"/>
    <n v="116.5"/>
    <s v="Credit Card"/>
  </r>
  <r>
    <s v="ORD1173"/>
    <s v="2025-08-02"/>
    <s v="CUST124"/>
    <x v="0"/>
    <x v="0"/>
    <x v="6"/>
    <s v="Accessories"/>
    <n v="1"/>
    <n v="3900"/>
    <n v="0.1"/>
    <x v="158"/>
    <n v="2839.64"/>
    <n v="670.36"/>
    <s v="Debit Card"/>
  </r>
  <r>
    <s v="ORD1174"/>
    <s v="2025-08-29"/>
    <s v="CUST106"/>
    <x v="2"/>
    <x v="2"/>
    <x v="0"/>
    <s v="Electronics"/>
    <n v="5"/>
    <n v="22400"/>
    <n v="0"/>
    <x v="159"/>
    <n v="84906.16"/>
    <n v="27093.84"/>
    <s v="Debit Card"/>
  </r>
  <r>
    <s v="ORD1175"/>
    <s v="2025-12-03"/>
    <s v="CUST114"/>
    <x v="6"/>
    <x v="0"/>
    <x v="1"/>
    <s v="Electronics"/>
    <n v="1"/>
    <n v="63200"/>
    <n v="0.1"/>
    <x v="160"/>
    <n v="46023.83"/>
    <n v="10856.17"/>
    <s v="Debit Card"/>
  </r>
  <r>
    <s v="ORD1176"/>
    <s v="2025-03-31"/>
    <s v="CUST160"/>
    <x v="9"/>
    <x v="0"/>
    <x v="3"/>
    <s v="Accessories"/>
    <n v="3"/>
    <n v="1000"/>
    <n v="0.1"/>
    <x v="161"/>
    <n v="2528.11"/>
    <n v="171.89"/>
    <s v="Credit Card"/>
  </r>
  <r>
    <s v="ORD1177"/>
    <s v="2025-01-23"/>
    <s v="CUST126"/>
    <x v="8"/>
    <x v="2"/>
    <x v="3"/>
    <s v="Accessories"/>
    <n v="4"/>
    <n v="1200"/>
    <n v="0"/>
    <x v="162"/>
    <n v="3545.7"/>
    <n v="1254.3"/>
    <s v="Debit Card"/>
  </r>
  <r>
    <s v="ORD1178"/>
    <s v="2025-11-28"/>
    <s v="CUST125"/>
    <x v="4"/>
    <x v="2"/>
    <x v="2"/>
    <s v="Electronics"/>
    <n v="5"/>
    <n v="53700"/>
    <n v="0.15"/>
    <x v="163"/>
    <n v="196182.95"/>
    <n v="32042.05"/>
    <s v="UPI"/>
  </r>
  <r>
    <s v="ORD1179"/>
    <s v="2025-07-24"/>
    <s v="CUST157"/>
    <x v="2"/>
    <x v="2"/>
    <x v="4"/>
    <s v="Office Equipment"/>
    <n v="1"/>
    <n v="13900"/>
    <n v="0.1"/>
    <x v="164"/>
    <n v="10666.72"/>
    <n v="1843.28"/>
    <s v="Credit Card"/>
  </r>
  <r>
    <s v="ORD1180"/>
    <s v="2025-08-06"/>
    <s v="CUST111"/>
    <x v="2"/>
    <x v="0"/>
    <x v="7"/>
    <s v="Accessories"/>
    <n v="3"/>
    <n v="7800"/>
    <n v="0.1"/>
    <x v="165"/>
    <n v="19661.37"/>
    <n v="1398.63"/>
    <s v="Credit Card"/>
  </r>
  <r>
    <s v="ORD1181"/>
    <s v="2025-06-01"/>
    <s v="CUST140"/>
    <x v="9"/>
    <x v="0"/>
    <x v="6"/>
    <s v="Accessories"/>
    <n v="1"/>
    <n v="3200"/>
    <n v="0"/>
    <x v="166"/>
    <n v="2385.87"/>
    <n v="814.13"/>
    <s v="Net Banking"/>
  </r>
  <r>
    <s v="ORD1182"/>
    <s v="2025-06-30"/>
    <s v="CUST179"/>
    <x v="2"/>
    <x v="2"/>
    <x v="3"/>
    <s v="Accessories"/>
    <n v="3"/>
    <n v="3600"/>
    <n v="0.15"/>
    <x v="167"/>
    <n v="7435.49"/>
    <n v="1744.51"/>
    <s v="UPI"/>
  </r>
  <r>
    <s v="ORD1183"/>
    <s v="2025-12-14"/>
    <s v="CUST121"/>
    <x v="8"/>
    <x v="1"/>
    <x v="0"/>
    <s v="Electronics"/>
    <n v="4"/>
    <n v="26100"/>
    <n v="0.1"/>
    <x v="168"/>
    <n v="81705.240000000005"/>
    <n v="12254.76"/>
    <s v="Cash"/>
  </r>
  <r>
    <s v="ORD1184"/>
    <s v="2025-11-27"/>
    <s v="CUST147"/>
    <x v="3"/>
    <x v="2"/>
    <x v="7"/>
    <s v="Accessories"/>
    <n v="2"/>
    <n v="1900"/>
    <n v="0"/>
    <x v="169"/>
    <n v="2763.36"/>
    <n v="1036.6400000000001"/>
    <s v="Cash"/>
  </r>
  <r>
    <s v="ORD1185"/>
    <s v="2025-07-10"/>
    <s v="CUST157"/>
    <x v="0"/>
    <x v="0"/>
    <x v="1"/>
    <s v="Electronics"/>
    <n v="2"/>
    <n v="75900"/>
    <n v="0.15"/>
    <x v="170"/>
    <n v="132030.28"/>
    <n v="-3000.28"/>
    <s v="Credit Card"/>
  </r>
  <r>
    <s v="ORD1186"/>
    <s v="2025-02-28"/>
    <s v="CUST104"/>
    <x v="7"/>
    <x v="2"/>
    <x v="4"/>
    <s v="Office Equipment"/>
    <n v="3"/>
    <n v="17100"/>
    <n v="0.1"/>
    <x v="171"/>
    <n v="37445.019999999997"/>
    <n v="8724.98"/>
    <s v="Cash"/>
  </r>
  <r>
    <s v="ORD1187"/>
    <s v="2025-12-27"/>
    <s v="CUST158"/>
    <x v="5"/>
    <x v="0"/>
    <x v="2"/>
    <s v="Electronics"/>
    <n v="1"/>
    <n v="40700"/>
    <n v="0.1"/>
    <x v="172"/>
    <n v="33984.21"/>
    <n v="2645.79"/>
    <s v="Debit Card"/>
  </r>
  <r>
    <s v="ORD1188"/>
    <s v="2025-08-20"/>
    <s v="CUST123"/>
    <x v="9"/>
    <x v="1"/>
    <x v="7"/>
    <s v="Accessories"/>
    <n v="1"/>
    <n v="4000"/>
    <n v="0.05"/>
    <x v="169"/>
    <n v="3402.26"/>
    <n v="397.74"/>
    <s v="Debit Card"/>
  </r>
  <r>
    <s v="ORD1189"/>
    <s v="2025-03-22"/>
    <s v="CUST123"/>
    <x v="3"/>
    <x v="0"/>
    <x v="4"/>
    <s v="Office Equipment"/>
    <n v="1"/>
    <n v="25100"/>
    <n v="0.1"/>
    <x v="173"/>
    <n v="21542.49"/>
    <n v="1047.51"/>
    <s v="Credit Card"/>
  </r>
  <r>
    <s v="ORD1190"/>
    <s v="2025-01-14"/>
    <s v="CUST147"/>
    <x v="1"/>
    <x v="0"/>
    <x v="0"/>
    <s v="Electronics"/>
    <n v="2"/>
    <n v="14100"/>
    <n v="0.05"/>
    <x v="174"/>
    <n v="23633.7"/>
    <n v="3156.3"/>
    <s v="Debit Card"/>
  </r>
  <r>
    <s v="ORD1191"/>
    <s v="2025-07-23"/>
    <s v="CUST162"/>
    <x v="1"/>
    <x v="2"/>
    <x v="7"/>
    <s v="Accessories"/>
    <n v="2"/>
    <n v="8500"/>
    <n v="0"/>
    <x v="175"/>
    <n v="11783.54"/>
    <n v="5216.46"/>
    <s v="Net Banking"/>
  </r>
  <r>
    <s v="ORD1192"/>
    <s v="2025-12-15"/>
    <s v="CUST167"/>
    <x v="3"/>
    <x v="1"/>
    <x v="0"/>
    <s v="Electronics"/>
    <n v="3"/>
    <n v="12200"/>
    <n v="0"/>
    <x v="176"/>
    <n v="28181.81"/>
    <n v="8418.19"/>
    <s v="Cash"/>
  </r>
  <r>
    <s v="ORD1193"/>
    <s v="2025-09-23"/>
    <s v="CUST120"/>
    <x v="4"/>
    <x v="1"/>
    <x v="3"/>
    <s v="Accessories"/>
    <n v="4"/>
    <n v="1600"/>
    <n v="0"/>
    <x v="177"/>
    <n v="5416.18"/>
    <n v="983.82"/>
    <s v="Credit Card"/>
  </r>
  <r>
    <s v="ORD1194"/>
    <s v="2025-09-23"/>
    <s v="CUST137"/>
    <x v="0"/>
    <x v="2"/>
    <x v="4"/>
    <s v="Office Equipment"/>
    <n v="2"/>
    <n v="25100"/>
    <n v="0.1"/>
    <x v="178"/>
    <n v="43648.73"/>
    <n v="1531.27"/>
    <s v="Credit Card"/>
  </r>
  <r>
    <s v="ORD1195"/>
    <s v="2025-03-28"/>
    <s v="CUST176"/>
    <x v="6"/>
    <x v="1"/>
    <x v="6"/>
    <s v="Accessories"/>
    <n v="3"/>
    <n v="2000"/>
    <n v="0"/>
    <x v="28"/>
    <n v="4683.09"/>
    <n v="1316.91"/>
    <s v="Credit Card"/>
  </r>
  <r>
    <s v="ORD1196"/>
    <s v="2025-11-25"/>
    <s v="CUST174"/>
    <x v="4"/>
    <x v="0"/>
    <x v="4"/>
    <s v="Office Equipment"/>
    <n v="1"/>
    <n v="21400"/>
    <n v="0"/>
    <x v="179"/>
    <n v="14899.63"/>
    <n v="6500.37"/>
    <s v="Credit Card"/>
  </r>
  <r>
    <s v="ORD1197"/>
    <s v="2025-10-07"/>
    <s v="CUST138"/>
    <x v="4"/>
    <x v="2"/>
    <x v="2"/>
    <s v="Electronics"/>
    <n v="1"/>
    <n v="43600"/>
    <n v="0.15"/>
    <x v="180"/>
    <n v="37400.050000000003"/>
    <n v="-340.05"/>
    <s v="Credit Card"/>
  </r>
  <r>
    <s v="ORD1198"/>
    <s v="2025-03-22"/>
    <s v="CUST157"/>
    <x v="2"/>
    <x v="2"/>
    <x v="2"/>
    <s v="Electronics"/>
    <n v="4"/>
    <n v="27200"/>
    <n v="0"/>
    <x v="181"/>
    <n v="88968.23"/>
    <n v="19831.77"/>
    <s v="Net Banking"/>
  </r>
  <r>
    <s v="ORD1199"/>
    <s v="2025-06-13"/>
    <s v="CUST145"/>
    <x v="2"/>
    <x v="1"/>
    <x v="5"/>
    <s v="Accessories"/>
    <n v="5"/>
    <n v="1500"/>
    <n v="0.05"/>
    <x v="34"/>
    <n v="5568.87"/>
    <n v="1556.13"/>
    <s v="Debit Card"/>
  </r>
  <r>
    <s v="ORD1200"/>
    <s v="2025-08-19"/>
    <s v="CUST132"/>
    <x v="7"/>
    <x v="1"/>
    <x v="0"/>
    <s v="Electronics"/>
    <n v="2"/>
    <n v="17100"/>
    <n v="0.15"/>
    <x v="182"/>
    <n v="24094.05"/>
    <n v="4975.95"/>
    <s v="UPI"/>
  </r>
  <r>
    <s v="ORD1201"/>
    <s v="2025-03-23"/>
    <s v="CUST142"/>
    <x v="6"/>
    <x v="0"/>
    <x v="6"/>
    <s v="Accessories"/>
    <n v="5"/>
    <n v="3600"/>
    <n v="0.15"/>
    <x v="17"/>
    <n v="13133.77"/>
    <n v="2166.23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CDD2D-3AEB-40EA-8482-55F706621BAA}" name="PivotTable2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19:B28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>
      <items count="11">
        <item x="8"/>
        <item x="3"/>
        <item x="0"/>
        <item x="4"/>
        <item x="5"/>
        <item x="9"/>
        <item x="2"/>
        <item x="6"/>
        <item x="7"/>
        <item x="1"/>
        <item t="default"/>
      </items>
    </pivotField>
    <pivotField compact="0" outline="0" showAll="0"/>
    <pivotField axis="axisRow" compact="0" outline="0" showAll="0" sortType="descending">
      <items count="9">
        <item x="6"/>
        <item x="3"/>
        <item x="1"/>
        <item x="0"/>
        <item x="5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numFmtId="9" outline="0" showAll="0"/>
    <pivotField compact="0" numFmtId="164" outline="0" showAll="0"/>
    <pivotField compact="0" numFmtId="164" outline="0" showAll="0"/>
    <pivotField dataField="1" compact="0" outline="0" showAll="0"/>
    <pivotField compact="0" outline="0" showAll="0"/>
  </pivotFields>
  <rowFields count="1">
    <field x="5"/>
  </rowFields>
  <rowItems count="9">
    <i>
      <x v="2"/>
    </i>
    <i>
      <x v="6"/>
    </i>
    <i>
      <x v="3"/>
    </i>
    <i>
      <x v="5"/>
    </i>
    <i>
      <x v="7"/>
    </i>
    <i>
      <x/>
    </i>
    <i>
      <x v="1"/>
    </i>
    <i>
      <x v="4"/>
    </i>
    <i t="grand">
      <x/>
    </i>
  </rowItems>
  <colItems count="1">
    <i/>
  </colItems>
  <dataFields count="1">
    <dataField name="Sum of Profit_INR" fld="12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5D1CB-FCD4-4D7E-B72F-16D160C76564}" name="PivotTable1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4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8"/>
        <item x="3"/>
        <item x="0"/>
        <item x="4"/>
        <item x="5"/>
        <item x="9"/>
        <item x="2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9" outline="0" showAll="0"/>
    <pivotField dataField="1" compact="0" numFmtId="164" outline="0" showAll="0">
      <items count="184">
        <item x="51"/>
        <item x="16"/>
        <item x="155"/>
        <item x="147"/>
        <item x="25"/>
        <item x="79"/>
        <item x="157"/>
        <item x="22"/>
        <item x="107"/>
        <item x="59"/>
        <item x="72"/>
        <item x="161"/>
        <item x="52"/>
        <item x="138"/>
        <item x="166"/>
        <item x="122"/>
        <item x="145"/>
        <item x="71"/>
        <item x="113"/>
        <item x="158"/>
        <item x="14"/>
        <item x="87"/>
        <item x="169"/>
        <item x="149"/>
        <item x="99"/>
        <item x="115"/>
        <item x="141"/>
        <item x="102"/>
        <item x="136"/>
        <item x="92"/>
        <item x="77"/>
        <item x="162"/>
        <item x="88"/>
        <item x="89"/>
        <item x="151"/>
        <item x="126"/>
        <item x="28"/>
        <item x="26"/>
        <item x="3"/>
        <item x="177"/>
        <item x="118"/>
        <item x="37"/>
        <item x="81"/>
        <item x="34"/>
        <item x="68"/>
        <item x="125"/>
        <item x="58"/>
        <item x="135"/>
        <item x="7"/>
        <item x="50"/>
        <item x="9"/>
        <item x="70"/>
        <item x="167"/>
        <item x="18"/>
        <item x="152"/>
        <item x="66"/>
        <item x="54"/>
        <item x="23"/>
        <item x="164"/>
        <item x="10"/>
        <item x="82"/>
        <item x="114"/>
        <item x="94"/>
        <item x="17"/>
        <item x="21"/>
        <item x="11"/>
        <item x="45"/>
        <item x="131"/>
        <item x="49"/>
        <item x="134"/>
        <item x="175"/>
        <item x="90"/>
        <item x="120"/>
        <item x="13"/>
        <item x="47"/>
        <item x="150"/>
        <item x="127"/>
        <item x="146"/>
        <item x="121"/>
        <item x="15"/>
        <item x="165"/>
        <item x="179"/>
        <item x="85"/>
        <item x="64"/>
        <item x="80"/>
        <item x="173"/>
        <item x="104"/>
        <item x="55"/>
        <item x="103"/>
        <item x="128"/>
        <item x="65"/>
        <item x="174"/>
        <item x="53"/>
        <item x="48"/>
        <item x="0"/>
        <item x="123"/>
        <item x="182"/>
        <item x="83"/>
        <item x="116"/>
        <item x="57"/>
        <item x="30"/>
        <item x="97"/>
        <item x="19"/>
        <item x="96"/>
        <item x="176"/>
        <item x="172"/>
        <item x="133"/>
        <item x="137"/>
        <item x="180"/>
        <item x="74"/>
        <item x="36"/>
        <item x="32"/>
        <item x="110"/>
        <item x="5"/>
        <item x="1"/>
        <item x="178"/>
        <item x="171"/>
        <item x="84"/>
        <item x="119"/>
        <item x="8"/>
        <item x="60"/>
        <item x="40"/>
        <item x="153"/>
        <item x="93"/>
        <item x="101"/>
        <item x="100"/>
        <item x="160"/>
        <item x="139"/>
        <item x="20"/>
        <item x="12"/>
        <item x="29"/>
        <item x="56"/>
        <item x="109"/>
        <item x="95"/>
        <item x="98"/>
        <item x="44"/>
        <item x="144"/>
        <item x="38"/>
        <item x="154"/>
        <item x="129"/>
        <item x="156"/>
        <item x="2"/>
        <item x="69"/>
        <item x="168"/>
        <item x="6"/>
        <item x="61"/>
        <item x="143"/>
        <item x="46"/>
        <item x="181"/>
        <item x="159"/>
        <item x="105"/>
        <item x="170"/>
        <item x="91"/>
        <item x="41"/>
        <item x="112"/>
        <item x="39"/>
        <item x="76"/>
        <item x="67"/>
        <item x="62"/>
        <item x="78"/>
        <item x="106"/>
        <item x="132"/>
        <item x="140"/>
        <item x="35"/>
        <item x="111"/>
        <item x="117"/>
        <item x="142"/>
        <item x="27"/>
        <item x="75"/>
        <item x="73"/>
        <item x="42"/>
        <item x="43"/>
        <item x="148"/>
        <item x="163"/>
        <item x="124"/>
        <item x="108"/>
        <item x="63"/>
        <item x="130"/>
        <item x="4"/>
        <item x="86"/>
        <item x="31"/>
        <item x="33"/>
        <item x="24"/>
        <item t="default"/>
      </items>
    </pivotField>
    <pivotField compact="0" numFmtId="164" outline="0" showAll="0"/>
    <pivotField compact="0" outline="0" showAll="0"/>
    <pivotField compact="0" outline="0" showAll="0"/>
  </pivotFields>
  <rowFields count="1">
    <field x="3"/>
  </rowFields>
  <rowItems count="11">
    <i>
      <x v="1"/>
    </i>
    <i>
      <x v="3"/>
    </i>
    <i>
      <x v="6"/>
    </i>
    <i>
      <x v="8"/>
    </i>
    <i>
      <x v="2"/>
    </i>
    <i>
      <x v="9"/>
    </i>
    <i>
      <x v="7"/>
    </i>
    <i>
      <x/>
    </i>
    <i>
      <x v="4"/>
    </i>
    <i>
      <x v="5"/>
    </i>
    <i t="grand">
      <x/>
    </i>
  </rowItems>
  <colItems count="1">
    <i/>
  </colItems>
  <dataFields count="1">
    <dataField name="Sum of Sales_INR" fld="10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DC52A-779C-4DB1-988E-3510631E3E38}" name="PivotTable4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9:B53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>
      <items count="11">
        <item x="8"/>
        <item x="3"/>
        <item x="0"/>
        <item x="4"/>
        <item x="5"/>
        <item x="9"/>
        <item x="2"/>
        <item x="6"/>
        <item x="7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9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INR" fld="10" baseField="0" baseItem="0" numFmtId="164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76942-7331-42C3-8421-43B48487A313}" name="PivotTable3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3:B44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8"/>
        <item x="3"/>
        <item x="0"/>
        <item x="4"/>
        <item x="5"/>
        <item x="9"/>
        <item x="2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9" outline="0" showAll="0"/>
    <pivotField compact="0" numFmtId="164" outline="0" showAll="0"/>
    <pivotField compact="0" numFmtId="164" outline="0" showAll="0"/>
    <pivotField dataField="1" compact="0" outline="0" showAll="0"/>
    <pivotField compact="0" outline="0" showAll="0"/>
  </pivotFields>
  <rowFields count="1">
    <field x="3"/>
  </rowFields>
  <rowItems count="11">
    <i>
      <x v="1"/>
    </i>
    <i>
      <x v="3"/>
    </i>
    <i>
      <x v="9"/>
    </i>
    <i>
      <x v="6"/>
    </i>
    <i>
      <x v="2"/>
    </i>
    <i>
      <x v="8"/>
    </i>
    <i>
      <x v="7"/>
    </i>
    <i>
      <x/>
    </i>
    <i>
      <x v="4"/>
    </i>
    <i>
      <x v="5"/>
    </i>
    <i t="grand">
      <x/>
    </i>
  </rowItems>
  <colItems count="1">
    <i/>
  </colItems>
  <dataFields count="1">
    <dataField name="Sum of Profit_INR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1E6A1-88E2-4B14-B7DB-3D484F6CA128}" name="PivotTable1" cacheId="1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1:C178" firstHeaderRow="1" firstDataRow="1" firstDataCol="0"/>
  <pivotFields count="14">
    <pivotField compact="0" outline="0" showAll="0"/>
    <pivotField compact="0" outline="0" showAll="0"/>
    <pivotField compact="0" outline="0" showAll="0"/>
    <pivotField compact="0" outline="0" showAll="0">
      <items count="11">
        <item x="8"/>
        <item x="3"/>
        <item x="0"/>
        <item x="4"/>
        <item x="5"/>
        <item x="9"/>
        <item x="2"/>
        <item x="6"/>
        <item x="7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9">
        <item x="6"/>
        <item x="3"/>
        <item x="1"/>
        <item x="0"/>
        <item x="5"/>
        <item x="4"/>
        <item x="2"/>
        <item x="7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9" outline="0" showAll="0"/>
    <pivotField compact="0" numFmtId="164" outline="0" showAll="0"/>
    <pivotField compact="0" numFmtId="164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1" xr10:uid="{CED251DD-6146-4E76-9608-8829DA365715}" sourceName="State">
  <pivotTables>
    <pivotTable tabId="5" name="PivotTable1"/>
    <pivotTable tabId="3" name="PivotTable1"/>
    <pivotTable tabId="3" name="PivotTable4"/>
    <pivotTable tabId="3" name="PivotTable3"/>
    <pivotTable tabId="3" name="PivotTable2"/>
  </pivotTables>
  <data>
    <tabular pivotCacheId="1170921294">
      <items count="10">
        <i x="8" s="1"/>
        <i x="3" s="1"/>
        <i x="0" s="1"/>
        <i x="4" s="1"/>
        <i x="5" s="1"/>
        <i x="9" s="1"/>
        <i x="2" s="1"/>
        <i x="6" s="1"/>
        <i x="7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8DDC7292-9AB8-4A32-BDE0-5DA86C03FA4D}" sourceName="Product">
  <pivotTables>
    <pivotTable tabId="5" name="PivotTable1"/>
  </pivotTables>
  <data>
    <tabular pivotCacheId="1170921294">
      <items count="8">
        <i x="6" s="1"/>
        <i x="3" s="1"/>
        <i x="1" s="1"/>
        <i x="0" s="1"/>
        <i x="5" s="1"/>
        <i x="4" s="1"/>
        <i x="2" s="1"/>
        <i x="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Segment" xr10:uid="{B2894AA2-8AEB-497C-9B45-0E7A16293C39}" sourceName="Customer_Segment">
  <pivotTables>
    <pivotTable tabId="5" name="PivotTable1"/>
  </pivotTables>
  <data>
    <tabular pivotCacheId="1170921294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E5373523-36CB-4DF8-8657-1E2D3B9ECDD4}" cache="Slicer_State1" caption="Stat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1" xr10:uid="{8845E78C-9B72-439D-BF06-2879C018AC0D}" cache="Slicer_State1" caption="State" startItem="1" rowHeight="228600"/>
  <slicer name="Product" xr10:uid="{651D73EB-71EA-4DF6-A33D-875A73C6A1C9}" cache="Slicer_Product" caption="Product" rowHeight="228600"/>
  <slicer name="Customer_Segment" xr10:uid="{72F15840-0A3A-41BF-B58C-17ACDD5D7F49}" cache="Slicer_Customer_Segment" caption="Customer_Segmen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topLeftCell="E3" workbookViewId="0">
      <selection activeCell="E17" sqref="E17"/>
    </sheetView>
  </sheetViews>
  <sheetFormatPr defaultRowHeight="15"/>
  <cols>
    <col min="1" max="1" width="12.85546875" bestFit="1" customWidth="1"/>
    <col min="2" max="2" width="16.140625" bestFit="1" customWidth="1"/>
    <col min="3" max="3" width="17.7109375" bestFit="1" customWidth="1"/>
    <col min="4" max="4" width="13.42578125" bestFit="1" customWidth="1"/>
    <col min="5" max="5" width="26.140625" bestFit="1" customWidth="1"/>
    <col min="6" max="6" width="12.140625" bestFit="1" customWidth="1"/>
    <col min="7" max="7" width="16.42578125" bestFit="1" customWidth="1"/>
    <col min="8" max="8" width="12.42578125" bestFit="1" customWidth="1"/>
    <col min="9" max="9" width="20.5703125" bestFit="1" customWidth="1"/>
    <col min="10" max="10" width="12.42578125" bestFit="1" customWidth="1"/>
    <col min="11" max="11" width="13.7109375" bestFit="1" customWidth="1"/>
    <col min="12" max="12" width="13.5703125" bestFit="1" customWidth="1"/>
    <col min="13" max="13" width="14.42578125" bestFit="1" customWidth="1"/>
    <col min="14" max="14" width="21.5703125" bestFit="1" customWidth="1"/>
  </cols>
  <sheetData>
    <row r="1" spans="1:14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5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3</v>
      </c>
      <c r="I2" s="3">
        <v>9600</v>
      </c>
      <c r="J2" s="4">
        <v>0.05</v>
      </c>
      <c r="K2" s="3">
        <v>27360</v>
      </c>
      <c r="L2" s="3">
        <v>20869.689999999999</v>
      </c>
      <c r="M2" s="2">
        <v>6490.31</v>
      </c>
      <c r="N2" s="2" t="s">
        <v>21</v>
      </c>
    </row>
    <row r="3" spans="1:14">
      <c r="A3" s="2" t="s">
        <v>22</v>
      </c>
      <c r="B3" s="5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20</v>
      </c>
      <c r="H3" s="2">
        <v>1</v>
      </c>
      <c r="I3" s="3">
        <v>46500</v>
      </c>
      <c r="J3" s="4">
        <v>0.05</v>
      </c>
      <c r="K3" s="3">
        <v>44175</v>
      </c>
      <c r="L3" s="3">
        <v>33783.75</v>
      </c>
      <c r="M3" s="2">
        <v>10391.25</v>
      </c>
      <c r="N3" s="2" t="s">
        <v>28</v>
      </c>
    </row>
    <row r="4" spans="1:14">
      <c r="A4" s="2" t="s">
        <v>29</v>
      </c>
      <c r="B4" s="5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20</v>
      </c>
      <c r="H4" s="2">
        <v>4</v>
      </c>
      <c r="I4" s="3">
        <v>23200</v>
      </c>
      <c r="J4" s="4">
        <v>0.1</v>
      </c>
      <c r="K4" s="3">
        <v>83520</v>
      </c>
      <c r="L4" s="3">
        <v>78127.03</v>
      </c>
      <c r="M4" s="2">
        <v>5392.97</v>
      </c>
      <c r="N4" s="2" t="s">
        <v>35</v>
      </c>
    </row>
    <row r="5" spans="1:14">
      <c r="A5" s="2" t="s">
        <v>36</v>
      </c>
      <c r="B5" s="5" t="s">
        <v>37</v>
      </c>
      <c r="C5" s="2" t="s">
        <v>38</v>
      </c>
      <c r="D5" s="2" t="s">
        <v>39</v>
      </c>
      <c r="E5" s="2" t="s">
        <v>18</v>
      </c>
      <c r="F5" s="2" t="s">
        <v>40</v>
      </c>
      <c r="G5" s="2" t="s">
        <v>41</v>
      </c>
      <c r="H5" s="2">
        <v>3</v>
      </c>
      <c r="I5" s="3">
        <v>2100</v>
      </c>
      <c r="J5" s="4">
        <v>0</v>
      </c>
      <c r="K5" s="3">
        <v>6300</v>
      </c>
      <c r="L5" s="3">
        <v>4400.8599999999997</v>
      </c>
      <c r="M5" s="2">
        <v>1899.14</v>
      </c>
      <c r="N5" s="2" t="s">
        <v>35</v>
      </c>
    </row>
    <row r="6" spans="1:14">
      <c r="A6" s="2" t="s">
        <v>42</v>
      </c>
      <c r="B6" s="5" t="s">
        <v>43</v>
      </c>
      <c r="C6" s="2" t="s">
        <v>44</v>
      </c>
      <c r="D6" s="2" t="s">
        <v>25</v>
      </c>
      <c r="E6" s="2" t="s">
        <v>33</v>
      </c>
      <c r="F6" s="2" t="s">
        <v>27</v>
      </c>
      <c r="G6" s="2" t="s">
        <v>20</v>
      </c>
      <c r="H6" s="2">
        <v>4</v>
      </c>
      <c r="I6" s="3">
        <v>82300</v>
      </c>
      <c r="J6" s="4">
        <v>0</v>
      </c>
      <c r="K6" s="3">
        <v>329200</v>
      </c>
      <c r="L6" s="3">
        <v>287925.94</v>
      </c>
      <c r="M6" s="2">
        <v>41274.06</v>
      </c>
      <c r="N6" s="2" t="s">
        <v>28</v>
      </c>
    </row>
    <row r="7" spans="1:14">
      <c r="A7" s="2" t="s">
        <v>45</v>
      </c>
      <c r="B7" s="5" t="s">
        <v>46</v>
      </c>
      <c r="C7" s="2" t="s">
        <v>47</v>
      </c>
      <c r="D7" s="2" t="s">
        <v>17</v>
      </c>
      <c r="E7" s="2" t="s">
        <v>26</v>
      </c>
      <c r="F7" s="2" t="s">
        <v>48</v>
      </c>
      <c r="G7" s="2" t="s">
        <v>49</v>
      </c>
      <c r="H7" s="2">
        <v>2</v>
      </c>
      <c r="I7" s="3">
        <v>21700</v>
      </c>
      <c r="J7" s="4">
        <v>0</v>
      </c>
      <c r="K7" s="3">
        <v>43400</v>
      </c>
      <c r="L7" s="3">
        <v>29909.759999999998</v>
      </c>
      <c r="M7" s="2">
        <v>13490.24</v>
      </c>
      <c r="N7" s="2" t="s">
        <v>50</v>
      </c>
    </row>
    <row r="8" spans="1:14">
      <c r="A8" s="2" t="s">
        <v>51</v>
      </c>
      <c r="B8" s="5" t="s">
        <v>52</v>
      </c>
      <c r="C8" s="2" t="s">
        <v>53</v>
      </c>
      <c r="D8" s="2" t="s">
        <v>54</v>
      </c>
      <c r="E8" s="2" t="s">
        <v>18</v>
      </c>
      <c r="F8" s="2" t="s">
        <v>34</v>
      </c>
      <c r="G8" s="2" t="s">
        <v>20</v>
      </c>
      <c r="H8" s="2">
        <v>4</v>
      </c>
      <c r="I8" s="3">
        <v>26200</v>
      </c>
      <c r="J8" s="4">
        <v>0.1</v>
      </c>
      <c r="K8" s="3">
        <v>94320</v>
      </c>
      <c r="L8" s="3">
        <v>74673.23</v>
      </c>
      <c r="M8" s="2">
        <v>19646.77</v>
      </c>
      <c r="N8" s="2" t="s">
        <v>50</v>
      </c>
    </row>
    <row r="9" spans="1:14">
      <c r="A9" s="2" t="s">
        <v>55</v>
      </c>
      <c r="B9" s="5" t="s">
        <v>56</v>
      </c>
      <c r="C9" s="2" t="s">
        <v>57</v>
      </c>
      <c r="D9" s="2" t="s">
        <v>58</v>
      </c>
      <c r="E9" s="2" t="s">
        <v>18</v>
      </c>
      <c r="F9" s="2" t="s">
        <v>40</v>
      </c>
      <c r="G9" s="2" t="s">
        <v>41</v>
      </c>
      <c r="H9" s="2">
        <v>2</v>
      </c>
      <c r="I9" s="3">
        <v>4200</v>
      </c>
      <c r="J9" s="4">
        <v>0.05</v>
      </c>
      <c r="K9" s="3">
        <v>7980</v>
      </c>
      <c r="L9" s="3">
        <v>6488.6</v>
      </c>
      <c r="M9" s="2">
        <v>1491.4</v>
      </c>
      <c r="N9" s="2" t="s">
        <v>35</v>
      </c>
    </row>
    <row r="10" spans="1:14">
      <c r="A10" s="2" t="s">
        <v>59</v>
      </c>
      <c r="B10" s="5" t="s">
        <v>60</v>
      </c>
      <c r="C10" s="2" t="s">
        <v>61</v>
      </c>
      <c r="D10" s="2" t="s">
        <v>62</v>
      </c>
      <c r="E10" s="2" t="s">
        <v>18</v>
      </c>
      <c r="F10" s="2" t="s">
        <v>27</v>
      </c>
      <c r="G10" s="2" t="s">
        <v>20</v>
      </c>
      <c r="H10" s="2">
        <v>1</v>
      </c>
      <c r="I10" s="3">
        <v>56700</v>
      </c>
      <c r="J10" s="4">
        <v>0.1</v>
      </c>
      <c r="K10" s="3">
        <v>51030</v>
      </c>
      <c r="L10" s="3">
        <v>43105.21</v>
      </c>
      <c r="M10" s="2">
        <v>7924.79</v>
      </c>
      <c r="N10" s="2" t="s">
        <v>35</v>
      </c>
    </row>
    <row r="11" spans="1:14">
      <c r="A11" s="2" t="s">
        <v>63</v>
      </c>
      <c r="B11" s="5" t="s">
        <v>64</v>
      </c>
      <c r="C11" s="2" t="s">
        <v>65</v>
      </c>
      <c r="D11" s="2" t="s">
        <v>66</v>
      </c>
      <c r="E11" s="2" t="s">
        <v>33</v>
      </c>
      <c r="F11" s="2" t="s">
        <v>67</v>
      </c>
      <c r="G11" s="2" t="s">
        <v>41</v>
      </c>
      <c r="H11" s="2">
        <v>4</v>
      </c>
      <c r="I11" s="3">
        <v>2500</v>
      </c>
      <c r="J11" s="4">
        <v>0.15</v>
      </c>
      <c r="K11" s="3">
        <v>8500</v>
      </c>
      <c r="L11" s="3">
        <v>8569.3700000000008</v>
      </c>
      <c r="M11" s="2">
        <v>-69.37</v>
      </c>
      <c r="N11" s="2" t="s">
        <v>68</v>
      </c>
    </row>
    <row r="12" spans="1:14">
      <c r="A12" s="2" t="s">
        <v>69</v>
      </c>
      <c r="B12" s="5" t="s">
        <v>70</v>
      </c>
      <c r="C12" s="2" t="s">
        <v>71</v>
      </c>
      <c r="D12" s="2" t="s">
        <v>32</v>
      </c>
      <c r="E12" s="2" t="s">
        <v>33</v>
      </c>
      <c r="F12" s="2" t="s">
        <v>67</v>
      </c>
      <c r="G12" s="2" t="s">
        <v>41</v>
      </c>
      <c r="H12" s="2">
        <v>5</v>
      </c>
      <c r="I12" s="3">
        <v>2800</v>
      </c>
      <c r="J12" s="4">
        <v>0.1</v>
      </c>
      <c r="K12" s="3">
        <v>12600</v>
      </c>
      <c r="L12" s="3">
        <v>11611.64</v>
      </c>
      <c r="M12" s="2">
        <v>988.36</v>
      </c>
      <c r="N12" s="2" t="s">
        <v>68</v>
      </c>
    </row>
    <row r="13" spans="1:14">
      <c r="A13" s="2" t="s">
        <v>72</v>
      </c>
      <c r="B13" s="5" t="s">
        <v>73</v>
      </c>
      <c r="C13" s="2" t="s">
        <v>74</v>
      </c>
      <c r="D13" s="2" t="s">
        <v>66</v>
      </c>
      <c r="E13" s="2" t="s">
        <v>18</v>
      </c>
      <c r="F13" s="2" t="s">
        <v>40</v>
      </c>
      <c r="G13" s="2" t="s">
        <v>41</v>
      </c>
      <c r="H13" s="2">
        <v>4</v>
      </c>
      <c r="I13" s="3">
        <v>4000</v>
      </c>
      <c r="J13" s="4">
        <v>0</v>
      </c>
      <c r="K13" s="3">
        <v>16000</v>
      </c>
      <c r="L13" s="3">
        <v>13298.5</v>
      </c>
      <c r="M13" s="2">
        <v>2701.5</v>
      </c>
      <c r="N13" s="2" t="s">
        <v>21</v>
      </c>
    </row>
    <row r="14" spans="1:14">
      <c r="A14" s="2" t="s">
        <v>75</v>
      </c>
      <c r="B14" s="5" t="s">
        <v>76</v>
      </c>
      <c r="C14" s="2" t="s">
        <v>77</v>
      </c>
      <c r="D14" s="2" t="s">
        <v>17</v>
      </c>
      <c r="E14" s="2" t="s">
        <v>18</v>
      </c>
      <c r="F14" s="2" t="s">
        <v>19</v>
      </c>
      <c r="G14" s="2" t="s">
        <v>20</v>
      </c>
      <c r="H14" s="2">
        <v>4</v>
      </c>
      <c r="I14" s="3">
        <v>18800</v>
      </c>
      <c r="J14" s="4">
        <v>0.15</v>
      </c>
      <c r="K14" s="3">
        <v>63920</v>
      </c>
      <c r="L14" s="3">
        <v>59093.88</v>
      </c>
      <c r="M14" s="2">
        <v>4826.12</v>
      </c>
      <c r="N14" s="2" t="s">
        <v>28</v>
      </c>
    </row>
    <row r="15" spans="1:14">
      <c r="A15" s="2" t="s">
        <v>78</v>
      </c>
      <c r="B15" s="5" t="s">
        <v>79</v>
      </c>
      <c r="C15" s="2" t="s">
        <v>65</v>
      </c>
      <c r="D15" s="2" t="s">
        <v>80</v>
      </c>
      <c r="E15" s="2" t="s">
        <v>18</v>
      </c>
      <c r="F15" s="2" t="s">
        <v>81</v>
      </c>
      <c r="G15" s="2" t="s">
        <v>41</v>
      </c>
      <c r="H15" s="2">
        <v>3</v>
      </c>
      <c r="I15" s="3">
        <v>6100</v>
      </c>
      <c r="J15" s="4">
        <v>0</v>
      </c>
      <c r="K15" s="3">
        <v>18300</v>
      </c>
      <c r="L15" s="3">
        <v>13518.21</v>
      </c>
      <c r="M15" s="2">
        <v>4781.79</v>
      </c>
      <c r="N15" s="2" t="s">
        <v>35</v>
      </c>
    </row>
    <row r="16" spans="1:14">
      <c r="A16" s="2" t="s">
        <v>82</v>
      </c>
      <c r="B16" s="5" t="s">
        <v>83</v>
      </c>
      <c r="C16" s="2" t="s">
        <v>84</v>
      </c>
      <c r="D16" s="2" t="s">
        <v>58</v>
      </c>
      <c r="E16" s="2" t="s">
        <v>26</v>
      </c>
      <c r="F16" s="2" t="s">
        <v>40</v>
      </c>
      <c r="G16" s="2" t="s">
        <v>41</v>
      </c>
      <c r="H16" s="2">
        <v>1</v>
      </c>
      <c r="I16" s="3">
        <v>4000</v>
      </c>
      <c r="J16" s="4">
        <v>0.1</v>
      </c>
      <c r="K16" s="3">
        <v>3600</v>
      </c>
      <c r="L16" s="3">
        <v>3393.34</v>
      </c>
      <c r="M16" s="2">
        <v>206.66</v>
      </c>
      <c r="N16" s="2" t="s">
        <v>35</v>
      </c>
    </row>
    <row r="17" spans="1:14">
      <c r="A17" s="2" t="s">
        <v>85</v>
      </c>
      <c r="B17" s="5" t="s">
        <v>86</v>
      </c>
      <c r="C17" s="2" t="s">
        <v>87</v>
      </c>
      <c r="D17" s="2" t="s">
        <v>17</v>
      </c>
      <c r="E17" s="2" t="s">
        <v>33</v>
      </c>
      <c r="F17" s="2" t="s">
        <v>40</v>
      </c>
      <c r="G17" s="2" t="s">
        <v>41</v>
      </c>
      <c r="H17" s="2">
        <v>5</v>
      </c>
      <c r="I17" s="3">
        <v>4200</v>
      </c>
      <c r="J17" s="4">
        <v>0</v>
      </c>
      <c r="K17" s="3">
        <v>21000</v>
      </c>
      <c r="L17" s="3">
        <v>16795.57</v>
      </c>
      <c r="M17" s="2">
        <v>4204.43</v>
      </c>
      <c r="N17" s="2" t="s">
        <v>35</v>
      </c>
    </row>
    <row r="18" spans="1:14">
      <c r="A18" s="2" t="s">
        <v>88</v>
      </c>
      <c r="B18" s="5" t="s">
        <v>89</v>
      </c>
      <c r="C18" s="2" t="s">
        <v>90</v>
      </c>
      <c r="D18" s="2" t="s">
        <v>25</v>
      </c>
      <c r="E18" s="2" t="s">
        <v>26</v>
      </c>
      <c r="F18" s="2" t="s">
        <v>67</v>
      </c>
      <c r="G18" s="2" t="s">
        <v>41</v>
      </c>
      <c r="H18" s="2">
        <v>2</v>
      </c>
      <c r="I18" s="3">
        <v>600</v>
      </c>
      <c r="J18" s="4">
        <v>0</v>
      </c>
      <c r="K18" s="3">
        <v>1200</v>
      </c>
      <c r="L18" s="3">
        <v>836.56</v>
      </c>
      <c r="M18" s="2">
        <v>363.44</v>
      </c>
      <c r="N18" s="2" t="s">
        <v>68</v>
      </c>
    </row>
    <row r="19" spans="1:14">
      <c r="A19" s="2" t="s">
        <v>91</v>
      </c>
      <c r="B19" s="5" t="s">
        <v>92</v>
      </c>
      <c r="C19" s="2" t="s">
        <v>93</v>
      </c>
      <c r="D19" s="2" t="s">
        <v>58</v>
      </c>
      <c r="E19" s="2" t="s">
        <v>18</v>
      </c>
      <c r="F19" s="2" t="s">
        <v>94</v>
      </c>
      <c r="G19" s="2" t="s">
        <v>41</v>
      </c>
      <c r="H19" s="2">
        <v>2</v>
      </c>
      <c r="I19" s="3">
        <v>8500</v>
      </c>
      <c r="J19" s="4">
        <v>0.1</v>
      </c>
      <c r="K19" s="3">
        <v>15300</v>
      </c>
      <c r="L19" s="3">
        <v>13354.09</v>
      </c>
      <c r="M19" s="2">
        <v>1945.91</v>
      </c>
      <c r="N19" s="2" t="s">
        <v>68</v>
      </c>
    </row>
    <row r="20" spans="1:14">
      <c r="A20" s="2" t="s">
        <v>95</v>
      </c>
      <c r="B20" s="5" t="s">
        <v>96</v>
      </c>
      <c r="C20" s="2" t="s">
        <v>97</v>
      </c>
      <c r="D20" s="2" t="s">
        <v>58</v>
      </c>
      <c r="E20" s="2" t="s">
        <v>26</v>
      </c>
      <c r="F20" s="2" t="s">
        <v>81</v>
      </c>
      <c r="G20" s="2" t="s">
        <v>41</v>
      </c>
      <c r="H20" s="2">
        <v>3</v>
      </c>
      <c r="I20" s="3">
        <v>3700</v>
      </c>
      <c r="J20" s="4">
        <v>0.15</v>
      </c>
      <c r="K20" s="3">
        <v>9435</v>
      </c>
      <c r="L20" s="3">
        <v>9545.14</v>
      </c>
      <c r="M20" s="2">
        <v>-110.14</v>
      </c>
      <c r="N20" s="2" t="s">
        <v>50</v>
      </c>
    </row>
    <row r="21" spans="1:14">
      <c r="A21" s="2" t="s">
        <v>98</v>
      </c>
      <c r="B21" s="5" t="s">
        <v>30</v>
      </c>
      <c r="C21" s="2" t="s">
        <v>99</v>
      </c>
      <c r="D21" s="2" t="s">
        <v>80</v>
      </c>
      <c r="E21" s="2" t="s">
        <v>26</v>
      </c>
      <c r="F21" s="2" t="s">
        <v>48</v>
      </c>
      <c r="G21" s="2" t="s">
        <v>49</v>
      </c>
      <c r="H21" s="2">
        <v>5</v>
      </c>
      <c r="I21" s="3">
        <v>7500</v>
      </c>
      <c r="J21" s="4">
        <v>0.05</v>
      </c>
      <c r="K21" s="3">
        <v>35625</v>
      </c>
      <c r="L21" s="3">
        <v>29913.3</v>
      </c>
      <c r="M21" s="2">
        <v>5711.7</v>
      </c>
      <c r="N21" s="2" t="s">
        <v>50</v>
      </c>
    </row>
    <row r="22" spans="1:14">
      <c r="A22" s="2" t="s">
        <v>100</v>
      </c>
      <c r="B22" s="5" t="s">
        <v>89</v>
      </c>
      <c r="C22" s="2" t="s">
        <v>61</v>
      </c>
      <c r="D22" s="2" t="s">
        <v>25</v>
      </c>
      <c r="E22" s="2" t="s">
        <v>26</v>
      </c>
      <c r="F22" s="2" t="s">
        <v>27</v>
      </c>
      <c r="G22" s="2" t="s">
        <v>20</v>
      </c>
      <c r="H22" s="2">
        <v>1</v>
      </c>
      <c r="I22" s="3">
        <v>61900</v>
      </c>
      <c r="J22" s="4">
        <v>0.05</v>
      </c>
      <c r="K22" s="3">
        <v>58805</v>
      </c>
      <c r="L22" s="3">
        <v>45539.55</v>
      </c>
      <c r="M22" s="2">
        <v>13265.45</v>
      </c>
      <c r="N22" s="2" t="s">
        <v>28</v>
      </c>
    </row>
    <row r="23" spans="1:14">
      <c r="A23" s="2" t="s">
        <v>101</v>
      </c>
      <c r="B23" s="5" t="s">
        <v>37</v>
      </c>
      <c r="C23" s="2" t="s">
        <v>102</v>
      </c>
      <c r="D23" s="2" t="s">
        <v>39</v>
      </c>
      <c r="E23" s="2" t="s">
        <v>33</v>
      </c>
      <c r="F23" s="2" t="s">
        <v>94</v>
      </c>
      <c r="G23" s="2" t="s">
        <v>41</v>
      </c>
      <c r="H23" s="2">
        <v>4</v>
      </c>
      <c r="I23" s="3">
        <v>4600</v>
      </c>
      <c r="J23" s="4">
        <v>0.15</v>
      </c>
      <c r="K23" s="3">
        <v>15640</v>
      </c>
      <c r="L23" s="3">
        <v>13212.71</v>
      </c>
      <c r="M23" s="2">
        <v>2427.29</v>
      </c>
      <c r="N23" s="2" t="s">
        <v>21</v>
      </c>
    </row>
    <row r="24" spans="1:14">
      <c r="A24" s="2" t="s">
        <v>103</v>
      </c>
      <c r="B24" s="5" t="s">
        <v>104</v>
      </c>
      <c r="C24" s="2" t="s">
        <v>105</v>
      </c>
      <c r="D24" s="2" t="s">
        <v>58</v>
      </c>
      <c r="E24" s="2" t="s">
        <v>26</v>
      </c>
      <c r="F24" s="2" t="s">
        <v>94</v>
      </c>
      <c r="G24" s="2" t="s">
        <v>41</v>
      </c>
      <c r="H24" s="2">
        <v>1</v>
      </c>
      <c r="I24" s="3">
        <v>2100</v>
      </c>
      <c r="J24" s="4">
        <v>0</v>
      </c>
      <c r="K24" s="3">
        <v>2100</v>
      </c>
      <c r="L24" s="3">
        <v>1597.1</v>
      </c>
      <c r="M24" s="2">
        <v>502.9</v>
      </c>
      <c r="N24" s="2" t="s">
        <v>68</v>
      </c>
    </row>
    <row r="25" spans="1:14">
      <c r="A25" s="2" t="s">
        <v>106</v>
      </c>
      <c r="B25" s="5" t="s">
        <v>107</v>
      </c>
      <c r="C25" s="2" t="s">
        <v>99</v>
      </c>
      <c r="D25" s="2" t="s">
        <v>108</v>
      </c>
      <c r="E25" s="2" t="s">
        <v>18</v>
      </c>
      <c r="F25" s="2" t="s">
        <v>94</v>
      </c>
      <c r="G25" s="2" t="s">
        <v>41</v>
      </c>
      <c r="H25" s="2">
        <v>4</v>
      </c>
      <c r="I25" s="3">
        <v>3200</v>
      </c>
      <c r="J25" s="4">
        <v>0.05</v>
      </c>
      <c r="K25" s="3">
        <v>12160</v>
      </c>
      <c r="L25" s="3">
        <v>9417.08</v>
      </c>
      <c r="M25" s="2">
        <v>2742.92</v>
      </c>
      <c r="N25" s="2" t="s">
        <v>50</v>
      </c>
    </row>
    <row r="26" spans="1:14">
      <c r="A26" s="2" t="s">
        <v>109</v>
      </c>
      <c r="B26" s="5" t="s">
        <v>110</v>
      </c>
      <c r="C26" s="2" t="s">
        <v>111</v>
      </c>
      <c r="D26" s="2" t="s">
        <v>32</v>
      </c>
      <c r="E26" s="2" t="s">
        <v>33</v>
      </c>
      <c r="F26" s="2" t="s">
        <v>27</v>
      </c>
      <c r="G26" s="2" t="s">
        <v>20</v>
      </c>
      <c r="H26" s="2">
        <v>5</v>
      </c>
      <c r="I26" s="3">
        <v>78300</v>
      </c>
      <c r="J26" s="4">
        <v>0</v>
      </c>
      <c r="K26" s="3">
        <v>391500</v>
      </c>
      <c r="L26" s="3">
        <v>342092.41</v>
      </c>
      <c r="M26" s="2">
        <v>49407.59</v>
      </c>
      <c r="N26" s="2" t="s">
        <v>21</v>
      </c>
    </row>
    <row r="27" spans="1:14">
      <c r="A27" s="2" t="s">
        <v>112</v>
      </c>
      <c r="B27" s="5" t="s">
        <v>113</v>
      </c>
      <c r="C27" s="2" t="s">
        <v>114</v>
      </c>
      <c r="D27" s="2" t="s">
        <v>108</v>
      </c>
      <c r="E27" s="2" t="s">
        <v>33</v>
      </c>
      <c r="F27" s="2" t="s">
        <v>67</v>
      </c>
      <c r="G27" s="2" t="s">
        <v>41</v>
      </c>
      <c r="H27" s="2">
        <v>1</v>
      </c>
      <c r="I27" s="3">
        <v>1700</v>
      </c>
      <c r="J27" s="4">
        <v>0.05</v>
      </c>
      <c r="K27" s="3">
        <v>1615</v>
      </c>
      <c r="L27" s="3">
        <v>1284.8499999999999</v>
      </c>
      <c r="M27" s="2">
        <v>330.15</v>
      </c>
      <c r="N27" s="2" t="s">
        <v>21</v>
      </c>
    </row>
    <row r="28" spans="1:14">
      <c r="A28" s="2" t="s">
        <v>115</v>
      </c>
      <c r="B28" s="5" t="s">
        <v>116</v>
      </c>
      <c r="C28" s="2" t="s">
        <v>71</v>
      </c>
      <c r="D28" s="2" t="s">
        <v>25</v>
      </c>
      <c r="E28" s="2" t="s">
        <v>26</v>
      </c>
      <c r="F28" s="2" t="s">
        <v>94</v>
      </c>
      <c r="G28" s="2" t="s">
        <v>41</v>
      </c>
      <c r="H28" s="2">
        <v>2</v>
      </c>
      <c r="I28" s="3">
        <v>3400</v>
      </c>
      <c r="J28" s="4">
        <v>0.1</v>
      </c>
      <c r="K28" s="3">
        <v>6120</v>
      </c>
      <c r="L28" s="3">
        <v>4920.07</v>
      </c>
      <c r="M28" s="2">
        <v>1199.93</v>
      </c>
      <c r="N28" s="2" t="s">
        <v>35</v>
      </c>
    </row>
    <row r="29" spans="1:14">
      <c r="A29" s="2" t="s">
        <v>117</v>
      </c>
      <c r="B29" s="5" t="s">
        <v>118</v>
      </c>
      <c r="C29" s="2" t="s">
        <v>31</v>
      </c>
      <c r="D29" s="2" t="s">
        <v>80</v>
      </c>
      <c r="E29" s="2" t="s">
        <v>18</v>
      </c>
      <c r="F29" s="2" t="s">
        <v>27</v>
      </c>
      <c r="G29" s="2" t="s">
        <v>20</v>
      </c>
      <c r="H29" s="2">
        <v>5</v>
      </c>
      <c r="I29" s="3">
        <v>47500</v>
      </c>
      <c r="J29" s="4">
        <v>0.15</v>
      </c>
      <c r="K29" s="3">
        <v>201875</v>
      </c>
      <c r="L29" s="3">
        <v>185385.39</v>
      </c>
      <c r="M29" s="2">
        <v>16489.61</v>
      </c>
      <c r="N29" s="2" t="s">
        <v>50</v>
      </c>
    </row>
    <row r="30" spans="1:14">
      <c r="A30" s="2" t="s">
        <v>119</v>
      </c>
      <c r="B30" s="5" t="s">
        <v>120</v>
      </c>
      <c r="C30" s="2" t="s">
        <v>121</v>
      </c>
      <c r="D30" s="2" t="s">
        <v>17</v>
      </c>
      <c r="E30" s="2" t="s">
        <v>18</v>
      </c>
      <c r="F30" s="2" t="s">
        <v>40</v>
      </c>
      <c r="G30" s="2" t="s">
        <v>41</v>
      </c>
      <c r="H30" s="2">
        <v>5</v>
      </c>
      <c r="I30" s="3">
        <v>1200</v>
      </c>
      <c r="J30" s="4">
        <v>0</v>
      </c>
      <c r="K30" s="3">
        <v>6000</v>
      </c>
      <c r="L30" s="3">
        <v>4890.26</v>
      </c>
      <c r="M30" s="2">
        <v>1109.74</v>
      </c>
      <c r="N30" s="2" t="s">
        <v>68</v>
      </c>
    </row>
    <row r="31" spans="1:14">
      <c r="A31" s="2" t="s">
        <v>122</v>
      </c>
      <c r="B31" s="5" t="s">
        <v>123</v>
      </c>
      <c r="C31" s="2" t="s">
        <v>124</v>
      </c>
      <c r="D31" s="2" t="s">
        <v>39</v>
      </c>
      <c r="E31" s="2" t="s">
        <v>33</v>
      </c>
      <c r="F31" s="2" t="s">
        <v>27</v>
      </c>
      <c r="G31" s="2" t="s">
        <v>20</v>
      </c>
      <c r="H31" s="2">
        <v>1</v>
      </c>
      <c r="I31" s="3">
        <v>76700</v>
      </c>
      <c r="J31" s="4">
        <v>0.15</v>
      </c>
      <c r="K31" s="3">
        <v>65195</v>
      </c>
      <c r="L31" s="3">
        <v>62240.1</v>
      </c>
      <c r="M31" s="2">
        <v>2954.9</v>
      </c>
      <c r="N31" s="2" t="s">
        <v>68</v>
      </c>
    </row>
    <row r="32" spans="1:14">
      <c r="A32" s="2" t="s">
        <v>125</v>
      </c>
      <c r="B32" s="5" t="s">
        <v>126</v>
      </c>
      <c r="C32" s="2" t="s">
        <v>127</v>
      </c>
      <c r="D32" s="2" t="s">
        <v>108</v>
      </c>
      <c r="E32" s="2" t="s">
        <v>33</v>
      </c>
      <c r="F32" s="2" t="s">
        <v>48</v>
      </c>
      <c r="G32" s="2" t="s">
        <v>49</v>
      </c>
      <c r="H32" s="2">
        <v>3</v>
      </c>
      <c r="I32" s="3">
        <v>13100</v>
      </c>
      <c r="J32" s="4">
        <v>0.15</v>
      </c>
      <c r="K32" s="3">
        <v>33405</v>
      </c>
      <c r="L32" s="3">
        <v>27752.7</v>
      </c>
      <c r="M32" s="2">
        <v>5652.3</v>
      </c>
      <c r="N32" s="2" t="s">
        <v>50</v>
      </c>
    </row>
    <row r="33" spans="1:14">
      <c r="A33" s="2" t="s">
        <v>128</v>
      </c>
      <c r="B33" s="5" t="s">
        <v>129</v>
      </c>
      <c r="C33" s="2" t="s">
        <v>130</v>
      </c>
      <c r="D33" s="2" t="s">
        <v>54</v>
      </c>
      <c r="E33" s="2" t="s">
        <v>26</v>
      </c>
      <c r="F33" s="2" t="s">
        <v>27</v>
      </c>
      <c r="G33" s="2" t="s">
        <v>20</v>
      </c>
      <c r="H33" s="2">
        <v>5</v>
      </c>
      <c r="I33" s="3">
        <v>68400</v>
      </c>
      <c r="J33" s="4">
        <v>0</v>
      </c>
      <c r="K33" s="3">
        <v>342000</v>
      </c>
      <c r="L33" s="3">
        <v>237571.03</v>
      </c>
      <c r="M33" s="2">
        <v>104428.97</v>
      </c>
      <c r="N33" s="2" t="s">
        <v>35</v>
      </c>
    </row>
    <row r="34" spans="1:14">
      <c r="A34" s="2" t="s">
        <v>131</v>
      </c>
      <c r="B34" s="5" t="s">
        <v>132</v>
      </c>
      <c r="C34" s="2" t="s">
        <v>127</v>
      </c>
      <c r="D34" s="2" t="s">
        <v>62</v>
      </c>
      <c r="E34" s="2" t="s">
        <v>18</v>
      </c>
      <c r="F34" s="2" t="s">
        <v>19</v>
      </c>
      <c r="G34" s="2" t="s">
        <v>20</v>
      </c>
      <c r="H34" s="2">
        <v>3</v>
      </c>
      <c r="I34" s="3">
        <v>15200</v>
      </c>
      <c r="J34" s="4">
        <v>0.1</v>
      </c>
      <c r="K34" s="3">
        <v>41040</v>
      </c>
      <c r="L34" s="3">
        <v>32446.65</v>
      </c>
      <c r="M34" s="2">
        <v>8593.35</v>
      </c>
      <c r="N34" s="2" t="s">
        <v>28</v>
      </c>
    </row>
    <row r="35" spans="1:14">
      <c r="A35" s="2" t="s">
        <v>133</v>
      </c>
      <c r="B35" s="5" t="s">
        <v>134</v>
      </c>
      <c r="C35" s="2" t="s">
        <v>135</v>
      </c>
      <c r="D35" s="2" t="s">
        <v>54</v>
      </c>
      <c r="E35" s="2" t="s">
        <v>26</v>
      </c>
      <c r="F35" s="2" t="s">
        <v>27</v>
      </c>
      <c r="G35" s="2" t="s">
        <v>20</v>
      </c>
      <c r="H35" s="2">
        <v>5</v>
      </c>
      <c r="I35" s="3">
        <v>79100</v>
      </c>
      <c r="J35" s="4">
        <v>0.1</v>
      </c>
      <c r="K35" s="3">
        <v>355950</v>
      </c>
      <c r="L35" s="3">
        <v>342641.9</v>
      </c>
      <c r="M35" s="2">
        <v>13308.1</v>
      </c>
      <c r="N35" s="2" t="s">
        <v>50</v>
      </c>
    </row>
    <row r="36" spans="1:14">
      <c r="A36" s="2" t="s">
        <v>136</v>
      </c>
      <c r="B36" s="5" t="s">
        <v>137</v>
      </c>
      <c r="C36" s="2" t="s">
        <v>114</v>
      </c>
      <c r="D36" s="2" t="s">
        <v>25</v>
      </c>
      <c r="E36" s="2" t="s">
        <v>33</v>
      </c>
      <c r="F36" s="2" t="s">
        <v>40</v>
      </c>
      <c r="G36" s="2" t="s">
        <v>41</v>
      </c>
      <c r="H36" s="2">
        <v>3</v>
      </c>
      <c r="I36" s="3">
        <v>2500</v>
      </c>
      <c r="J36" s="4">
        <v>0.05</v>
      </c>
      <c r="K36" s="3">
        <v>7125</v>
      </c>
      <c r="L36" s="3">
        <v>6176.42</v>
      </c>
      <c r="M36" s="2">
        <v>948.58</v>
      </c>
      <c r="N36" s="2" t="s">
        <v>35</v>
      </c>
    </row>
    <row r="37" spans="1:14">
      <c r="A37" s="2" t="s">
        <v>138</v>
      </c>
      <c r="B37" s="5" t="s">
        <v>139</v>
      </c>
      <c r="C37" s="2" t="s">
        <v>140</v>
      </c>
      <c r="D37" s="2" t="s">
        <v>54</v>
      </c>
      <c r="E37" s="2" t="s">
        <v>26</v>
      </c>
      <c r="F37" s="2" t="s">
        <v>27</v>
      </c>
      <c r="G37" s="2" t="s">
        <v>20</v>
      </c>
      <c r="H37" s="2">
        <v>4</v>
      </c>
      <c r="I37" s="3">
        <v>49700</v>
      </c>
      <c r="J37" s="4">
        <v>0.1</v>
      </c>
      <c r="K37" s="3">
        <v>178920</v>
      </c>
      <c r="L37" s="3">
        <v>136936.89000000001</v>
      </c>
      <c r="M37" s="2">
        <v>41983.11</v>
      </c>
      <c r="N37" s="2" t="s">
        <v>21</v>
      </c>
    </row>
    <row r="38" spans="1:14">
      <c r="A38" s="2" t="s">
        <v>141</v>
      </c>
      <c r="B38" s="5" t="s">
        <v>142</v>
      </c>
      <c r="C38" s="2" t="s">
        <v>74</v>
      </c>
      <c r="D38" s="2" t="s">
        <v>25</v>
      </c>
      <c r="E38" s="2" t="s">
        <v>26</v>
      </c>
      <c r="F38" s="2" t="s">
        <v>34</v>
      </c>
      <c r="G38" s="2" t="s">
        <v>20</v>
      </c>
      <c r="H38" s="2">
        <v>1</v>
      </c>
      <c r="I38" s="3">
        <v>40700</v>
      </c>
      <c r="J38" s="4">
        <v>0</v>
      </c>
      <c r="K38" s="3">
        <v>40700</v>
      </c>
      <c r="L38" s="3">
        <v>28288.49</v>
      </c>
      <c r="M38" s="2">
        <v>12411.51</v>
      </c>
      <c r="N38" s="2" t="s">
        <v>35</v>
      </c>
    </row>
    <row r="39" spans="1:14">
      <c r="A39" s="2" t="s">
        <v>143</v>
      </c>
      <c r="B39" s="5" t="s">
        <v>144</v>
      </c>
      <c r="C39" s="2" t="s">
        <v>38</v>
      </c>
      <c r="D39" s="2" t="s">
        <v>58</v>
      </c>
      <c r="E39" s="2" t="s">
        <v>18</v>
      </c>
      <c r="F39" s="2" t="s">
        <v>40</v>
      </c>
      <c r="G39" s="2" t="s">
        <v>41</v>
      </c>
      <c r="H39" s="2">
        <v>2</v>
      </c>
      <c r="I39" s="3">
        <v>3500</v>
      </c>
      <c r="J39" s="4">
        <v>0</v>
      </c>
      <c r="K39" s="3">
        <v>7000</v>
      </c>
      <c r="L39" s="3">
        <v>5191.5600000000004</v>
      </c>
      <c r="M39" s="2">
        <v>1808.44</v>
      </c>
      <c r="N39" s="2" t="s">
        <v>68</v>
      </c>
    </row>
    <row r="40" spans="1:14">
      <c r="A40" s="2" t="s">
        <v>145</v>
      </c>
      <c r="B40" s="5" t="s">
        <v>146</v>
      </c>
      <c r="C40" s="2" t="s">
        <v>147</v>
      </c>
      <c r="D40" s="2" t="s">
        <v>66</v>
      </c>
      <c r="E40" s="2" t="s">
        <v>26</v>
      </c>
      <c r="F40" s="2" t="s">
        <v>19</v>
      </c>
      <c r="G40" s="2" t="s">
        <v>20</v>
      </c>
      <c r="H40" s="2">
        <v>5</v>
      </c>
      <c r="I40" s="3">
        <v>18000</v>
      </c>
      <c r="J40" s="4">
        <v>0.15</v>
      </c>
      <c r="K40" s="3">
        <v>76500</v>
      </c>
      <c r="L40" s="3">
        <v>78729.070000000007</v>
      </c>
      <c r="M40" s="2">
        <v>-2229.0700000000002</v>
      </c>
      <c r="N40" s="2" t="s">
        <v>21</v>
      </c>
    </row>
    <row r="41" spans="1:14">
      <c r="A41" s="2" t="s">
        <v>148</v>
      </c>
      <c r="B41" s="5" t="s">
        <v>107</v>
      </c>
      <c r="C41" s="2" t="s">
        <v>149</v>
      </c>
      <c r="D41" s="2" t="s">
        <v>66</v>
      </c>
      <c r="E41" s="2" t="s">
        <v>18</v>
      </c>
      <c r="F41" s="2" t="s">
        <v>27</v>
      </c>
      <c r="G41" s="2" t="s">
        <v>20</v>
      </c>
      <c r="H41" s="2">
        <v>3</v>
      </c>
      <c r="I41" s="3">
        <v>54100</v>
      </c>
      <c r="J41" s="4">
        <v>0.15</v>
      </c>
      <c r="K41" s="3">
        <v>137955</v>
      </c>
      <c r="L41" s="3">
        <v>136404.54999999999</v>
      </c>
      <c r="M41" s="2">
        <v>1550.45</v>
      </c>
      <c r="N41" s="2" t="s">
        <v>50</v>
      </c>
    </row>
    <row r="42" spans="1:14">
      <c r="A42" s="2" t="s">
        <v>150</v>
      </c>
      <c r="B42" s="5" t="s">
        <v>151</v>
      </c>
      <c r="C42" s="2" t="s">
        <v>152</v>
      </c>
      <c r="D42" s="2" t="s">
        <v>54</v>
      </c>
      <c r="E42" s="2" t="s">
        <v>26</v>
      </c>
      <c r="F42" s="2" t="s">
        <v>34</v>
      </c>
      <c r="G42" s="2" t="s">
        <v>20</v>
      </c>
      <c r="H42" s="2">
        <v>4</v>
      </c>
      <c r="I42" s="3">
        <v>13900</v>
      </c>
      <c r="J42" s="4">
        <v>0.05</v>
      </c>
      <c r="K42" s="3">
        <v>52820</v>
      </c>
      <c r="L42" s="3">
        <v>40027.25</v>
      </c>
      <c r="M42" s="2">
        <v>12792.75</v>
      </c>
      <c r="N42" s="2" t="s">
        <v>68</v>
      </c>
    </row>
    <row r="43" spans="1:14">
      <c r="A43" s="2" t="s">
        <v>153</v>
      </c>
      <c r="B43" s="5" t="s">
        <v>154</v>
      </c>
      <c r="C43" s="2" t="s">
        <v>155</v>
      </c>
      <c r="D43" s="2" t="s">
        <v>39</v>
      </c>
      <c r="E43" s="2" t="s">
        <v>18</v>
      </c>
      <c r="F43" s="2" t="s">
        <v>27</v>
      </c>
      <c r="G43" s="2" t="s">
        <v>20</v>
      </c>
      <c r="H43" s="2">
        <v>2</v>
      </c>
      <c r="I43" s="3">
        <v>78700</v>
      </c>
      <c r="J43" s="4">
        <v>0.15</v>
      </c>
      <c r="K43" s="3">
        <v>133790</v>
      </c>
      <c r="L43" s="3">
        <v>117365.69</v>
      </c>
      <c r="M43" s="2">
        <v>16424.310000000001</v>
      </c>
      <c r="N43" s="2" t="s">
        <v>28</v>
      </c>
    </row>
    <row r="44" spans="1:14">
      <c r="A44" s="2" t="s">
        <v>156</v>
      </c>
      <c r="B44" s="5" t="s">
        <v>157</v>
      </c>
      <c r="C44" s="2" t="s">
        <v>114</v>
      </c>
      <c r="D44" s="2" t="s">
        <v>66</v>
      </c>
      <c r="E44" s="2" t="s">
        <v>18</v>
      </c>
      <c r="F44" s="2" t="s">
        <v>34</v>
      </c>
      <c r="G44" s="2" t="s">
        <v>20</v>
      </c>
      <c r="H44" s="2">
        <v>5</v>
      </c>
      <c r="I44" s="3">
        <v>46700</v>
      </c>
      <c r="J44" s="4">
        <v>0.1</v>
      </c>
      <c r="K44" s="3">
        <v>210150</v>
      </c>
      <c r="L44" s="3">
        <v>202642.37</v>
      </c>
      <c r="M44" s="2">
        <v>7507.63</v>
      </c>
      <c r="N44" s="2" t="s">
        <v>35</v>
      </c>
    </row>
    <row r="45" spans="1:14">
      <c r="A45" s="2" t="s">
        <v>158</v>
      </c>
      <c r="B45" s="5" t="s">
        <v>159</v>
      </c>
      <c r="C45" s="2" t="s">
        <v>102</v>
      </c>
      <c r="D45" s="2" t="s">
        <v>62</v>
      </c>
      <c r="E45" s="2" t="s">
        <v>18</v>
      </c>
      <c r="F45" s="2" t="s">
        <v>27</v>
      </c>
      <c r="G45" s="2" t="s">
        <v>20</v>
      </c>
      <c r="H45" s="2">
        <v>5</v>
      </c>
      <c r="I45" s="3">
        <v>50500</v>
      </c>
      <c r="J45" s="4">
        <v>0.15</v>
      </c>
      <c r="K45" s="3">
        <v>214625</v>
      </c>
      <c r="L45" s="3">
        <v>189157.2</v>
      </c>
      <c r="M45" s="2">
        <v>25467.8</v>
      </c>
      <c r="N45" s="2" t="s">
        <v>50</v>
      </c>
    </row>
    <row r="46" spans="1:14">
      <c r="A46" s="2" t="s">
        <v>160</v>
      </c>
      <c r="B46" s="5" t="s">
        <v>161</v>
      </c>
      <c r="C46" s="2" t="s">
        <v>162</v>
      </c>
      <c r="D46" s="2" t="s">
        <v>25</v>
      </c>
      <c r="E46" s="2" t="s">
        <v>18</v>
      </c>
      <c r="F46" s="2" t="s">
        <v>34</v>
      </c>
      <c r="G46" s="2" t="s">
        <v>20</v>
      </c>
      <c r="H46" s="2">
        <v>2</v>
      </c>
      <c r="I46" s="3">
        <v>41500</v>
      </c>
      <c r="J46" s="4">
        <v>0.1</v>
      </c>
      <c r="K46" s="3">
        <v>74700</v>
      </c>
      <c r="L46" s="3">
        <v>57176.82</v>
      </c>
      <c r="M46" s="2">
        <v>17523.18</v>
      </c>
      <c r="N46" s="2" t="s">
        <v>68</v>
      </c>
    </row>
    <row r="47" spans="1:14">
      <c r="A47" s="2" t="s">
        <v>163</v>
      </c>
      <c r="B47" s="5" t="s">
        <v>164</v>
      </c>
      <c r="C47" s="2" t="s">
        <v>97</v>
      </c>
      <c r="D47" s="2" t="s">
        <v>54</v>
      </c>
      <c r="E47" s="2" t="s">
        <v>18</v>
      </c>
      <c r="F47" s="2" t="s">
        <v>48</v>
      </c>
      <c r="G47" s="2" t="s">
        <v>49</v>
      </c>
      <c r="H47" s="2">
        <v>1</v>
      </c>
      <c r="I47" s="3">
        <v>18000</v>
      </c>
      <c r="J47" s="4">
        <v>0.1</v>
      </c>
      <c r="K47" s="3">
        <v>16200</v>
      </c>
      <c r="L47" s="3">
        <v>14483.36</v>
      </c>
      <c r="M47" s="2">
        <v>1716.64</v>
      </c>
      <c r="N47" s="2" t="s">
        <v>35</v>
      </c>
    </row>
    <row r="48" spans="1:14">
      <c r="A48" s="2" t="s">
        <v>165</v>
      </c>
      <c r="B48" s="5" t="s">
        <v>166</v>
      </c>
      <c r="C48" s="2" t="s">
        <v>167</v>
      </c>
      <c r="D48" s="2" t="s">
        <v>32</v>
      </c>
      <c r="E48" s="2" t="s">
        <v>18</v>
      </c>
      <c r="F48" s="2" t="s">
        <v>34</v>
      </c>
      <c r="G48" s="2" t="s">
        <v>20</v>
      </c>
      <c r="H48" s="2">
        <v>4</v>
      </c>
      <c r="I48" s="3">
        <v>28700</v>
      </c>
      <c r="J48" s="4">
        <v>0.1</v>
      </c>
      <c r="K48" s="3">
        <v>103320</v>
      </c>
      <c r="L48" s="3">
        <v>90793.31</v>
      </c>
      <c r="M48" s="2">
        <v>12526.69</v>
      </c>
      <c r="N48" s="2" t="s">
        <v>68</v>
      </c>
    </row>
    <row r="49" spans="1:14">
      <c r="A49" s="2" t="s">
        <v>168</v>
      </c>
      <c r="B49" s="5" t="s">
        <v>169</v>
      </c>
      <c r="C49" s="2" t="s">
        <v>102</v>
      </c>
      <c r="D49" s="2" t="s">
        <v>62</v>
      </c>
      <c r="E49" s="2" t="s">
        <v>18</v>
      </c>
      <c r="F49" s="2" t="s">
        <v>81</v>
      </c>
      <c r="G49" s="2" t="s">
        <v>41</v>
      </c>
      <c r="H49" s="2">
        <v>5</v>
      </c>
      <c r="I49" s="3">
        <v>3700</v>
      </c>
      <c r="J49" s="4">
        <v>0</v>
      </c>
      <c r="K49" s="3">
        <v>18500</v>
      </c>
      <c r="L49" s="3">
        <v>13704.34</v>
      </c>
      <c r="M49" s="2">
        <v>4795.66</v>
      </c>
      <c r="N49" s="2" t="s">
        <v>35</v>
      </c>
    </row>
    <row r="50" spans="1:14">
      <c r="A50" s="2" t="s">
        <v>170</v>
      </c>
      <c r="B50" s="5" t="s">
        <v>171</v>
      </c>
      <c r="C50" s="2" t="s">
        <v>44</v>
      </c>
      <c r="D50" s="2" t="s">
        <v>54</v>
      </c>
      <c r="E50" s="2" t="s">
        <v>18</v>
      </c>
      <c r="F50" s="2" t="s">
        <v>94</v>
      </c>
      <c r="G50" s="2" t="s">
        <v>41</v>
      </c>
      <c r="H50" s="2">
        <v>4</v>
      </c>
      <c r="I50" s="3">
        <v>7100</v>
      </c>
      <c r="J50" s="4">
        <v>0.05</v>
      </c>
      <c r="K50" s="3">
        <v>26980</v>
      </c>
      <c r="L50" s="3">
        <v>22215.47</v>
      </c>
      <c r="M50" s="2">
        <v>4764.53</v>
      </c>
      <c r="N50" s="2" t="s">
        <v>28</v>
      </c>
    </row>
    <row r="51" spans="1:14">
      <c r="A51" s="2" t="s">
        <v>172</v>
      </c>
      <c r="B51" s="5" t="s">
        <v>173</v>
      </c>
      <c r="C51" s="2" t="s">
        <v>174</v>
      </c>
      <c r="D51" s="2" t="s">
        <v>80</v>
      </c>
      <c r="E51" s="2" t="s">
        <v>26</v>
      </c>
      <c r="F51" s="2" t="s">
        <v>48</v>
      </c>
      <c r="G51" s="2" t="s">
        <v>49</v>
      </c>
      <c r="H51" s="2">
        <v>2</v>
      </c>
      <c r="I51" s="3">
        <v>9300</v>
      </c>
      <c r="J51" s="4">
        <v>0.1</v>
      </c>
      <c r="K51" s="3">
        <v>16740</v>
      </c>
      <c r="L51" s="3">
        <v>13483.66</v>
      </c>
      <c r="M51" s="2">
        <v>3256.34</v>
      </c>
      <c r="N51" s="2" t="s">
        <v>68</v>
      </c>
    </row>
    <row r="52" spans="1:14">
      <c r="A52" s="2" t="s">
        <v>175</v>
      </c>
      <c r="B52" s="5" t="s">
        <v>176</v>
      </c>
      <c r="C52" s="2" t="s">
        <v>177</v>
      </c>
      <c r="D52" s="2" t="s">
        <v>32</v>
      </c>
      <c r="E52" s="2" t="s">
        <v>33</v>
      </c>
      <c r="F52" s="2" t="s">
        <v>94</v>
      </c>
      <c r="G52" s="2" t="s">
        <v>41</v>
      </c>
      <c r="H52" s="2">
        <v>4</v>
      </c>
      <c r="I52" s="3">
        <v>2400</v>
      </c>
      <c r="J52" s="4">
        <v>0.15</v>
      </c>
      <c r="K52" s="3">
        <v>8160</v>
      </c>
      <c r="L52" s="3">
        <v>8229.3799999999992</v>
      </c>
      <c r="M52" s="2">
        <v>-69.38</v>
      </c>
      <c r="N52" s="2" t="s">
        <v>21</v>
      </c>
    </row>
    <row r="53" spans="1:14">
      <c r="A53" s="2" t="s">
        <v>178</v>
      </c>
      <c r="B53" s="5" t="s">
        <v>179</v>
      </c>
      <c r="C53" s="2" t="s">
        <v>180</v>
      </c>
      <c r="D53" s="2" t="s">
        <v>25</v>
      </c>
      <c r="E53" s="2" t="s">
        <v>33</v>
      </c>
      <c r="F53" s="2" t="s">
        <v>67</v>
      </c>
      <c r="G53" s="2" t="s">
        <v>41</v>
      </c>
      <c r="H53" s="2">
        <v>1</v>
      </c>
      <c r="I53" s="3">
        <v>900</v>
      </c>
      <c r="J53" s="4">
        <v>0</v>
      </c>
      <c r="K53" s="3">
        <v>900</v>
      </c>
      <c r="L53" s="3">
        <v>752.12</v>
      </c>
      <c r="M53" s="2">
        <v>147.88</v>
      </c>
      <c r="N53" s="2" t="s">
        <v>50</v>
      </c>
    </row>
    <row r="54" spans="1:14">
      <c r="A54" s="2" t="s">
        <v>181</v>
      </c>
      <c r="B54" s="5" t="s">
        <v>182</v>
      </c>
      <c r="C54" s="2" t="s">
        <v>183</v>
      </c>
      <c r="D54" s="2" t="s">
        <v>25</v>
      </c>
      <c r="E54" s="2" t="s">
        <v>18</v>
      </c>
      <c r="F54" s="2" t="s">
        <v>67</v>
      </c>
      <c r="G54" s="2" t="s">
        <v>41</v>
      </c>
      <c r="H54" s="2">
        <v>4</v>
      </c>
      <c r="I54" s="3">
        <v>800</v>
      </c>
      <c r="J54" s="4">
        <v>0.05</v>
      </c>
      <c r="K54" s="3">
        <v>3040</v>
      </c>
      <c r="L54" s="3">
        <v>2688.91</v>
      </c>
      <c r="M54" s="2">
        <v>351.09</v>
      </c>
      <c r="N54" s="2" t="s">
        <v>35</v>
      </c>
    </row>
    <row r="55" spans="1:14">
      <c r="A55" s="2" t="s">
        <v>184</v>
      </c>
      <c r="B55" s="5" t="s">
        <v>185</v>
      </c>
      <c r="C55" s="2" t="s">
        <v>186</v>
      </c>
      <c r="D55" s="2" t="s">
        <v>54</v>
      </c>
      <c r="E55" s="2" t="s">
        <v>26</v>
      </c>
      <c r="F55" s="2" t="s">
        <v>94</v>
      </c>
      <c r="G55" s="2" t="s">
        <v>41</v>
      </c>
      <c r="H55" s="2">
        <v>4</v>
      </c>
      <c r="I55" s="3">
        <v>7900</v>
      </c>
      <c r="J55" s="4">
        <v>0.15</v>
      </c>
      <c r="K55" s="3">
        <v>26860</v>
      </c>
      <c r="L55" s="3">
        <v>27158.36</v>
      </c>
      <c r="M55" s="2">
        <v>-298.36</v>
      </c>
      <c r="N55" s="2" t="s">
        <v>35</v>
      </c>
    </row>
    <row r="56" spans="1:14">
      <c r="A56" s="2" t="s">
        <v>187</v>
      </c>
      <c r="B56" s="5" t="s">
        <v>188</v>
      </c>
      <c r="C56" s="2" t="s">
        <v>147</v>
      </c>
      <c r="D56" s="2" t="s">
        <v>54</v>
      </c>
      <c r="E56" s="2" t="s">
        <v>33</v>
      </c>
      <c r="F56" s="2" t="s">
        <v>94</v>
      </c>
      <c r="G56" s="2" t="s">
        <v>41</v>
      </c>
      <c r="H56" s="2">
        <v>3</v>
      </c>
      <c r="I56" s="3">
        <v>4500</v>
      </c>
      <c r="J56" s="4">
        <v>0.15</v>
      </c>
      <c r="K56" s="3">
        <v>11475</v>
      </c>
      <c r="L56" s="3">
        <v>9389.2099999999991</v>
      </c>
      <c r="M56" s="2">
        <v>2085.79</v>
      </c>
      <c r="N56" s="2" t="s">
        <v>35</v>
      </c>
    </row>
    <row r="57" spans="1:14">
      <c r="A57" s="2" t="s">
        <v>189</v>
      </c>
      <c r="B57" s="5" t="s">
        <v>190</v>
      </c>
      <c r="C57" s="2" t="s">
        <v>61</v>
      </c>
      <c r="D57" s="2" t="s">
        <v>17</v>
      </c>
      <c r="E57" s="2" t="s">
        <v>33</v>
      </c>
      <c r="F57" s="2" t="s">
        <v>19</v>
      </c>
      <c r="G57" s="2" t="s">
        <v>20</v>
      </c>
      <c r="H57" s="2">
        <v>2</v>
      </c>
      <c r="I57" s="3">
        <v>12500</v>
      </c>
      <c r="J57" s="4">
        <v>0.05</v>
      </c>
      <c r="K57" s="3">
        <v>23750</v>
      </c>
      <c r="L57" s="3">
        <v>18915.18</v>
      </c>
      <c r="M57" s="2">
        <v>4834.82</v>
      </c>
      <c r="N57" s="2" t="s">
        <v>21</v>
      </c>
    </row>
    <row r="58" spans="1:14">
      <c r="A58" s="2" t="s">
        <v>191</v>
      </c>
      <c r="B58" s="5" t="s">
        <v>192</v>
      </c>
      <c r="C58" s="2" t="s">
        <v>193</v>
      </c>
      <c r="D58" s="2" t="s">
        <v>62</v>
      </c>
      <c r="E58" s="2" t="s">
        <v>18</v>
      </c>
      <c r="F58" s="2" t="s">
        <v>48</v>
      </c>
      <c r="G58" s="2" t="s">
        <v>49</v>
      </c>
      <c r="H58" s="2">
        <v>4</v>
      </c>
      <c r="I58" s="3">
        <v>20800</v>
      </c>
      <c r="J58" s="4">
        <v>0.15</v>
      </c>
      <c r="K58" s="3">
        <v>70720</v>
      </c>
      <c r="L58" s="3">
        <v>57612.1</v>
      </c>
      <c r="M58" s="2">
        <v>13107.9</v>
      </c>
      <c r="N58" s="2" t="s">
        <v>50</v>
      </c>
    </row>
    <row r="59" spans="1:14">
      <c r="A59" s="2" t="s">
        <v>194</v>
      </c>
      <c r="B59" s="5" t="s">
        <v>113</v>
      </c>
      <c r="C59" s="2" t="s">
        <v>167</v>
      </c>
      <c r="D59" s="2" t="s">
        <v>25</v>
      </c>
      <c r="E59" s="2" t="s">
        <v>18</v>
      </c>
      <c r="F59" s="2" t="s">
        <v>34</v>
      </c>
      <c r="G59" s="2" t="s">
        <v>20</v>
      </c>
      <c r="H59" s="2">
        <v>1</v>
      </c>
      <c r="I59" s="3">
        <v>36400</v>
      </c>
      <c r="J59" s="4">
        <v>0.1</v>
      </c>
      <c r="K59" s="3">
        <v>32760</v>
      </c>
      <c r="L59" s="3">
        <v>26925.9</v>
      </c>
      <c r="M59" s="2">
        <v>5834.1</v>
      </c>
      <c r="N59" s="2" t="s">
        <v>28</v>
      </c>
    </row>
    <row r="60" spans="1:14">
      <c r="A60" s="2" t="s">
        <v>195</v>
      </c>
      <c r="B60" s="5" t="s">
        <v>196</v>
      </c>
      <c r="C60" s="2" t="s">
        <v>193</v>
      </c>
      <c r="D60" s="2" t="s">
        <v>39</v>
      </c>
      <c r="E60" s="2" t="s">
        <v>18</v>
      </c>
      <c r="F60" s="2" t="s">
        <v>67</v>
      </c>
      <c r="G60" s="2" t="s">
        <v>41</v>
      </c>
      <c r="H60" s="2">
        <v>2</v>
      </c>
      <c r="I60" s="3">
        <v>2000</v>
      </c>
      <c r="J60" s="4">
        <v>0.1</v>
      </c>
      <c r="K60" s="3">
        <v>3600</v>
      </c>
      <c r="L60" s="3">
        <v>3068.67</v>
      </c>
      <c r="M60" s="2">
        <v>531.33000000000004</v>
      </c>
      <c r="N60" s="2" t="s">
        <v>21</v>
      </c>
    </row>
    <row r="61" spans="1:14">
      <c r="A61" s="2" t="s">
        <v>197</v>
      </c>
      <c r="B61" s="5" t="s">
        <v>198</v>
      </c>
      <c r="C61" s="2" t="s">
        <v>199</v>
      </c>
      <c r="D61" s="2" t="s">
        <v>80</v>
      </c>
      <c r="E61" s="2" t="s">
        <v>26</v>
      </c>
      <c r="F61" s="2" t="s">
        <v>40</v>
      </c>
      <c r="G61" s="2" t="s">
        <v>41</v>
      </c>
      <c r="H61" s="2">
        <v>2</v>
      </c>
      <c r="I61" s="3">
        <v>3700</v>
      </c>
      <c r="J61" s="4">
        <v>0</v>
      </c>
      <c r="K61" s="3">
        <v>7400</v>
      </c>
      <c r="L61" s="3">
        <v>6374.25</v>
      </c>
      <c r="M61" s="2">
        <v>1025.75</v>
      </c>
      <c r="N61" s="2" t="s">
        <v>21</v>
      </c>
    </row>
    <row r="62" spans="1:14">
      <c r="A62" s="2" t="s">
        <v>200</v>
      </c>
      <c r="B62" s="5" t="s">
        <v>201</v>
      </c>
      <c r="C62" s="2" t="s">
        <v>61</v>
      </c>
      <c r="D62" s="2" t="s">
        <v>108</v>
      </c>
      <c r="E62" s="2" t="s">
        <v>33</v>
      </c>
      <c r="F62" s="2" t="s">
        <v>40</v>
      </c>
      <c r="G62" s="2" t="s">
        <v>41</v>
      </c>
      <c r="H62" s="2">
        <v>2</v>
      </c>
      <c r="I62" s="3">
        <v>3700</v>
      </c>
      <c r="J62" s="4">
        <v>0</v>
      </c>
      <c r="K62" s="3">
        <v>7400</v>
      </c>
      <c r="L62" s="3">
        <v>5417.03</v>
      </c>
      <c r="M62" s="2">
        <v>1982.97</v>
      </c>
      <c r="N62" s="2" t="s">
        <v>35</v>
      </c>
    </row>
    <row r="63" spans="1:14">
      <c r="A63" s="2" t="s">
        <v>202</v>
      </c>
      <c r="B63" s="5" t="s">
        <v>203</v>
      </c>
      <c r="C63" s="2" t="s">
        <v>87</v>
      </c>
      <c r="D63" s="2" t="s">
        <v>25</v>
      </c>
      <c r="E63" s="2" t="s">
        <v>26</v>
      </c>
      <c r="F63" s="2" t="s">
        <v>34</v>
      </c>
      <c r="G63" s="2" t="s">
        <v>20</v>
      </c>
      <c r="H63" s="2">
        <v>4</v>
      </c>
      <c r="I63" s="3">
        <v>26200</v>
      </c>
      <c r="J63" s="4">
        <v>0.1</v>
      </c>
      <c r="K63" s="3">
        <v>94320</v>
      </c>
      <c r="L63" s="3">
        <v>88763.73</v>
      </c>
      <c r="M63" s="2">
        <v>5556.27</v>
      </c>
      <c r="N63" s="2" t="s">
        <v>35</v>
      </c>
    </row>
    <row r="64" spans="1:14">
      <c r="A64" s="2" t="s">
        <v>204</v>
      </c>
      <c r="B64" s="5" t="s">
        <v>205</v>
      </c>
      <c r="C64" s="2" t="s">
        <v>206</v>
      </c>
      <c r="D64" s="2" t="s">
        <v>80</v>
      </c>
      <c r="E64" s="2" t="s">
        <v>18</v>
      </c>
      <c r="F64" s="2" t="s">
        <v>67</v>
      </c>
      <c r="G64" s="2" t="s">
        <v>41</v>
      </c>
      <c r="H64" s="2">
        <v>1</v>
      </c>
      <c r="I64" s="3">
        <v>2500</v>
      </c>
      <c r="J64" s="4">
        <v>0</v>
      </c>
      <c r="K64" s="3">
        <v>2500</v>
      </c>
      <c r="L64" s="3">
        <v>2077.12</v>
      </c>
      <c r="M64" s="2">
        <v>422.88</v>
      </c>
      <c r="N64" s="2" t="s">
        <v>68</v>
      </c>
    </row>
    <row r="65" spans="1:14">
      <c r="A65" s="2" t="s">
        <v>207</v>
      </c>
      <c r="B65" s="5" t="s">
        <v>208</v>
      </c>
      <c r="C65" s="2" t="s">
        <v>209</v>
      </c>
      <c r="D65" s="2" t="s">
        <v>54</v>
      </c>
      <c r="E65" s="2" t="s">
        <v>33</v>
      </c>
      <c r="F65" s="2" t="s">
        <v>67</v>
      </c>
      <c r="G65" s="2" t="s">
        <v>41</v>
      </c>
      <c r="H65" s="2">
        <v>4</v>
      </c>
      <c r="I65" s="3">
        <v>900</v>
      </c>
      <c r="J65" s="4">
        <v>0</v>
      </c>
      <c r="K65" s="3">
        <v>3600</v>
      </c>
      <c r="L65" s="3">
        <v>2854.06</v>
      </c>
      <c r="M65" s="2">
        <v>745.94</v>
      </c>
      <c r="N65" s="2" t="s">
        <v>68</v>
      </c>
    </row>
    <row r="66" spans="1:14">
      <c r="A66" s="2" t="s">
        <v>210</v>
      </c>
      <c r="B66" s="5" t="s">
        <v>211</v>
      </c>
      <c r="C66" s="2" t="s">
        <v>212</v>
      </c>
      <c r="D66" s="2" t="s">
        <v>62</v>
      </c>
      <c r="E66" s="2" t="s">
        <v>18</v>
      </c>
      <c r="F66" s="2" t="s">
        <v>19</v>
      </c>
      <c r="G66" s="2" t="s">
        <v>20</v>
      </c>
      <c r="H66" s="2">
        <v>2</v>
      </c>
      <c r="I66" s="3">
        <v>28900</v>
      </c>
      <c r="J66" s="4">
        <v>0.1</v>
      </c>
      <c r="K66" s="3">
        <v>52020</v>
      </c>
      <c r="L66" s="3">
        <v>40553.620000000003</v>
      </c>
      <c r="M66" s="2">
        <v>11466.38</v>
      </c>
      <c r="N66" s="2" t="s">
        <v>21</v>
      </c>
    </row>
    <row r="67" spans="1:14">
      <c r="A67" s="2" t="s">
        <v>213</v>
      </c>
      <c r="B67" s="5" t="s">
        <v>214</v>
      </c>
      <c r="C67" s="2" t="s">
        <v>215</v>
      </c>
      <c r="D67" s="2" t="s">
        <v>17</v>
      </c>
      <c r="E67" s="2" t="s">
        <v>18</v>
      </c>
      <c r="F67" s="2" t="s">
        <v>34</v>
      </c>
      <c r="G67" s="2" t="s">
        <v>20</v>
      </c>
      <c r="H67" s="2">
        <v>2</v>
      </c>
      <c r="I67" s="3">
        <v>48600</v>
      </c>
      <c r="J67" s="4">
        <v>0</v>
      </c>
      <c r="K67" s="3">
        <v>97200</v>
      </c>
      <c r="L67" s="3">
        <v>77606.38</v>
      </c>
      <c r="M67" s="2">
        <v>19593.62</v>
      </c>
      <c r="N67" s="2" t="s">
        <v>35</v>
      </c>
    </row>
    <row r="68" spans="1:14">
      <c r="A68" s="2" t="s">
        <v>216</v>
      </c>
      <c r="B68" s="5" t="s">
        <v>70</v>
      </c>
      <c r="C68" s="2" t="s">
        <v>217</v>
      </c>
      <c r="D68" s="2" t="s">
        <v>17</v>
      </c>
      <c r="E68" s="2" t="s">
        <v>18</v>
      </c>
      <c r="F68" s="2" t="s">
        <v>19</v>
      </c>
      <c r="G68" s="2" t="s">
        <v>20</v>
      </c>
      <c r="H68" s="2">
        <v>5</v>
      </c>
      <c r="I68" s="3">
        <v>29300</v>
      </c>
      <c r="J68" s="4">
        <v>0</v>
      </c>
      <c r="K68" s="3">
        <v>146500</v>
      </c>
      <c r="L68" s="3">
        <v>109793.07</v>
      </c>
      <c r="M68" s="2">
        <v>36706.93</v>
      </c>
      <c r="N68" s="2" t="s">
        <v>35</v>
      </c>
    </row>
    <row r="69" spans="1:14">
      <c r="A69" s="2" t="s">
        <v>218</v>
      </c>
      <c r="B69" s="5" t="s">
        <v>219</v>
      </c>
      <c r="C69" s="2" t="s">
        <v>65</v>
      </c>
      <c r="D69" s="2" t="s">
        <v>66</v>
      </c>
      <c r="E69" s="2" t="s">
        <v>33</v>
      </c>
      <c r="F69" s="2" t="s">
        <v>27</v>
      </c>
      <c r="G69" s="2" t="s">
        <v>20</v>
      </c>
      <c r="H69" s="2">
        <v>4</v>
      </c>
      <c r="I69" s="3">
        <v>66500</v>
      </c>
      <c r="J69" s="4">
        <v>0</v>
      </c>
      <c r="K69" s="3">
        <v>266000</v>
      </c>
      <c r="L69" s="3">
        <v>203943.44</v>
      </c>
      <c r="M69" s="2">
        <v>62056.56</v>
      </c>
      <c r="N69" s="2" t="s">
        <v>68</v>
      </c>
    </row>
    <row r="70" spans="1:14">
      <c r="A70" s="2" t="s">
        <v>220</v>
      </c>
      <c r="B70" s="5" t="s">
        <v>198</v>
      </c>
      <c r="C70" s="2" t="s">
        <v>149</v>
      </c>
      <c r="D70" s="2" t="s">
        <v>39</v>
      </c>
      <c r="E70" s="2" t="s">
        <v>26</v>
      </c>
      <c r="F70" s="2" t="s">
        <v>81</v>
      </c>
      <c r="G70" s="2" t="s">
        <v>41</v>
      </c>
      <c r="H70" s="2">
        <v>5</v>
      </c>
      <c r="I70" s="3">
        <v>5100</v>
      </c>
      <c r="J70" s="4">
        <v>0.15</v>
      </c>
      <c r="K70" s="3">
        <v>21675</v>
      </c>
      <c r="L70" s="3">
        <v>19710.86</v>
      </c>
      <c r="M70" s="2">
        <v>1964.14</v>
      </c>
      <c r="N70" s="2" t="s">
        <v>50</v>
      </c>
    </row>
    <row r="71" spans="1:14">
      <c r="A71" s="2" t="s">
        <v>221</v>
      </c>
      <c r="B71" s="5" t="s">
        <v>222</v>
      </c>
      <c r="C71" s="2" t="s">
        <v>223</v>
      </c>
      <c r="D71" s="2" t="s">
        <v>32</v>
      </c>
      <c r="E71" s="2" t="s">
        <v>33</v>
      </c>
      <c r="F71" s="2" t="s">
        <v>81</v>
      </c>
      <c r="G71" s="2" t="s">
        <v>41</v>
      </c>
      <c r="H71" s="2">
        <v>4</v>
      </c>
      <c r="I71" s="3">
        <v>6800</v>
      </c>
      <c r="J71" s="4">
        <v>0.05</v>
      </c>
      <c r="K71" s="3">
        <v>25840</v>
      </c>
      <c r="L71" s="3">
        <v>22578.59</v>
      </c>
      <c r="M71" s="2">
        <v>3261.41</v>
      </c>
      <c r="N71" s="2" t="s">
        <v>50</v>
      </c>
    </row>
    <row r="72" spans="1:14">
      <c r="A72" s="2" t="s">
        <v>224</v>
      </c>
      <c r="B72" s="5" t="s">
        <v>225</v>
      </c>
      <c r="C72" s="2" t="s">
        <v>226</v>
      </c>
      <c r="D72" s="2" t="s">
        <v>54</v>
      </c>
      <c r="E72" s="2" t="s">
        <v>18</v>
      </c>
      <c r="F72" s="2" t="s">
        <v>94</v>
      </c>
      <c r="G72" s="2" t="s">
        <v>41</v>
      </c>
      <c r="H72" s="2">
        <v>2</v>
      </c>
      <c r="I72" s="3">
        <v>5600</v>
      </c>
      <c r="J72" s="4">
        <v>0.15</v>
      </c>
      <c r="K72" s="3">
        <v>9520</v>
      </c>
      <c r="L72" s="3">
        <v>8091.15</v>
      </c>
      <c r="M72" s="2">
        <v>1428.85</v>
      </c>
      <c r="N72" s="2" t="s">
        <v>35</v>
      </c>
    </row>
    <row r="73" spans="1:14">
      <c r="A73" s="2" t="s">
        <v>227</v>
      </c>
      <c r="B73" s="5" t="s">
        <v>228</v>
      </c>
      <c r="C73" s="2" t="s">
        <v>229</v>
      </c>
      <c r="D73" s="2" t="s">
        <v>25</v>
      </c>
      <c r="E73" s="2" t="s">
        <v>26</v>
      </c>
      <c r="F73" s="2" t="s">
        <v>27</v>
      </c>
      <c r="G73" s="2" t="s">
        <v>20</v>
      </c>
      <c r="H73" s="2">
        <v>2</v>
      </c>
      <c r="I73" s="3">
        <v>71400</v>
      </c>
      <c r="J73" s="4">
        <v>0</v>
      </c>
      <c r="K73" s="3">
        <v>142800</v>
      </c>
      <c r="L73" s="3">
        <v>103997.13</v>
      </c>
      <c r="M73" s="2">
        <v>38802.870000000003</v>
      </c>
      <c r="N73" s="2" t="s">
        <v>21</v>
      </c>
    </row>
    <row r="74" spans="1:14">
      <c r="A74" s="2" t="s">
        <v>230</v>
      </c>
      <c r="B74" s="5" t="s">
        <v>231</v>
      </c>
      <c r="C74" s="2" t="s">
        <v>215</v>
      </c>
      <c r="D74" s="2" t="s">
        <v>54</v>
      </c>
      <c r="E74" s="2" t="s">
        <v>18</v>
      </c>
      <c r="F74" s="2" t="s">
        <v>94</v>
      </c>
      <c r="G74" s="2" t="s">
        <v>41</v>
      </c>
      <c r="H74" s="2">
        <v>1</v>
      </c>
      <c r="I74" s="3">
        <v>7200</v>
      </c>
      <c r="J74" s="4">
        <v>0</v>
      </c>
      <c r="K74" s="3">
        <v>7200</v>
      </c>
      <c r="L74" s="3">
        <v>5319.7</v>
      </c>
      <c r="M74" s="2">
        <v>1880.3</v>
      </c>
      <c r="N74" s="2" t="s">
        <v>28</v>
      </c>
    </row>
    <row r="75" spans="1:14">
      <c r="A75" s="2" t="s">
        <v>232</v>
      </c>
      <c r="B75" s="5" t="s">
        <v>233</v>
      </c>
      <c r="C75" s="2" t="s">
        <v>234</v>
      </c>
      <c r="D75" s="2" t="s">
        <v>39</v>
      </c>
      <c r="E75" s="2" t="s">
        <v>18</v>
      </c>
      <c r="F75" s="2" t="s">
        <v>48</v>
      </c>
      <c r="G75" s="2" t="s">
        <v>49</v>
      </c>
      <c r="H75" s="2">
        <v>5</v>
      </c>
      <c r="I75" s="3">
        <v>19100</v>
      </c>
      <c r="J75" s="4">
        <v>0.1</v>
      </c>
      <c r="K75" s="3">
        <v>85950</v>
      </c>
      <c r="L75" s="3">
        <v>73067.12</v>
      </c>
      <c r="M75" s="2">
        <v>12882.88</v>
      </c>
      <c r="N75" s="2" t="s">
        <v>21</v>
      </c>
    </row>
    <row r="76" spans="1:14">
      <c r="A76" s="2" t="s">
        <v>235</v>
      </c>
      <c r="B76" s="5" t="s">
        <v>166</v>
      </c>
      <c r="C76" s="2" t="s">
        <v>236</v>
      </c>
      <c r="D76" s="2" t="s">
        <v>17</v>
      </c>
      <c r="E76" s="2" t="s">
        <v>18</v>
      </c>
      <c r="F76" s="2" t="s">
        <v>81</v>
      </c>
      <c r="G76" s="2" t="s">
        <v>41</v>
      </c>
      <c r="H76" s="2">
        <v>3</v>
      </c>
      <c r="I76" s="3">
        <v>3100</v>
      </c>
      <c r="J76" s="4">
        <v>0.05</v>
      </c>
      <c r="K76" s="3">
        <v>8835</v>
      </c>
      <c r="L76" s="3">
        <v>6548.42</v>
      </c>
      <c r="M76" s="2">
        <v>2286.58</v>
      </c>
      <c r="N76" s="2" t="s">
        <v>28</v>
      </c>
    </row>
    <row r="77" spans="1:14">
      <c r="A77" s="2" t="s">
        <v>237</v>
      </c>
      <c r="B77" s="5" t="s">
        <v>238</v>
      </c>
      <c r="C77" s="2" t="s">
        <v>183</v>
      </c>
      <c r="D77" s="2" t="s">
        <v>62</v>
      </c>
      <c r="E77" s="2" t="s">
        <v>33</v>
      </c>
      <c r="F77" s="2" t="s">
        <v>40</v>
      </c>
      <c r="G77" s="2" t="s">
        <v>41</v>
      </c>
      <c r="H77" s="2">
        <v>2</v>
      </c>
      <c r="I77" s="3">
        <v>2000</v>
      </c>
      <c r="J77" s="4">
        <v>0.15</v>
      </c>
      <c r="K77" s="3">
        <v>3400</v>
      </c>
      <c r="L77" s="3">
        <v>2941.2</v>
      </c>
      <c r="M77" s="2">
        <v>458.8</v>
      </c>
      <c r="N77" s="2" t="s">
        <v>50</v>
      </c>
    </row>
    <row r="78" spans="1:14">
      <c r="A78" s="2" t="s">
        <v>239</v>
      </c>
      <c r="B78" s="5" t="s">
        <v>240</v>
      </c>
      <c r="C78" s="2" t="s">
        <v>241</v>
      </c>
      <c r="D78" s="2" t="s">
        <v>66</v>
      </c>
      <c r="E78" s="2" t="s">
        <v>33</v>
      </c>
      <c r="F78" s="2" t="s">
        <v>67</v>
      </c>
      <c r="G78" s="2" t="s">
        <v>41</v>
      </c>
      <c r="H78" s="2">
        <v>2</v>
      </c>
      <c r="I78" s="3">
        <v>1400</v>
      </c>
      <c r="J78" s="4">
        <v>0.1</v>
      </c>
      <c r="K78" s="3">
        <v>2520</v>
      </c>
      <c r="L78" s="3">
        <v>2004.49</v>
      </c>
      <c r="M78" s="2">
        <v>515.51</v>
      </c>
      <c r="N78" s="2" t="s">
        <v>50</v>
      </c>
    </row>
    <row r="79" spans="1:14">
      <c r="A79" s="2" t="s">
        <v>242</v>
      </c>
      <c r="B79" s="5" t="s">
        <v>243</v>
      </c>
      <c r="C79" s="2" t="s">
        <v>105</v>
      </c>
      <c r="D79" s="2" t="s">
        <v>80</v>
      </c>
      <c r="E79" s="2" t="s">
        <v>18</v>
      </c>
      <c r="F79" s="2" t="s">
        <v>27</v>
      </c>
      <c r="G79" s="2" t="s">
        <v>20</v>
      </c>
      <c r="H79" s="2">
        <v>3</v>
      </c>
      <c r="I79" s="3">
        <v>73300</v>
      </c>
      <c r="J79" s="4">
        <v>0.05</v>
      </c>
      <c r="K79" s="3">
        <v>208905</v>
      </c>
      <c r="L79" s="3">
        <v>177585.51</v>
      </c>
      <c r="M79" s="2">
        <v>31319.49</v>
      </c>
      <c r="N79" s="2" t="s">
        <v>35</v>
      </c>
    </row>
    <row r="80" spans="1:14">
      <c r="A80" s="2" t="s">
        <v>244</v>
      </c>
      <c r="B80" s="5" t="s">
        <v>245</v>
      </c>
      <c r="C80" s="2" t="s">
        <v>246</v>
      </c>
      <c r="D80" s="2" t="s">
        <v>108</v>
      </c>
      <c r="E80" s="2" t="s">
        <v>26</v>
      </c>
      <c r="F80" s="2" t="s">
        <v>94</v>
      </c>
      <c r="G80" s="2" t="s">
        <v>41</v>
      </c>
      <c r="H80" s="2">
        <v>4</v>
      </c>
      <c r="I80" s="3">
        <v>7600</v>
      </c>
      <c r="J80" s="4">
        <v>0.1</v>
      </c>
      <c r="K80" s="3">
        <v>27360</v>
      </c>
      <c r="L80" s="3">
        <v>21792.93</v>
      </c>
      <c r="M80" s="2">
        <v>5567.07</v>
      </c>
      <c r="N80" s="2" t="s">
        <v>50</v>
      </c>
    </row>
    <row r="81" spans="1:14">
      <c r="A81" s="2" t="s">
        <v>247</v>
      </c>
      <c r="B81" s="5" t="s">
        <v>248</v>
      </c>
      <c r="C81" s="2" t="s">
        <v>127</v>
      </c>
      <c r="D81" s="2" t="s">
        <v>17</v>
      </c>
      <c r="E81" s="2" t="s">
        <v>26</v>
      </c>
      <c r="F81" s="2" t="s">
        <v>34</v>
      </c>
      <c r="G81" s="2" t="s">
        <v>20</v>
      </c>
      <c r="H81" s="2">
        <v>1</v>
      </c>
      <c r="I81" s="3">
        <v>37100</v>
      </c>
      <c r="J81" s="4">
        <v>0</v>
      </c>
      <c r="K81" s="3">
        <v>37100</v>
      </c>
      <c r="L81" s="3">
        <v>26353.81</v>
      </c>
      <c r="M81" s="2">
        <v>10746.19</v>
      </c>
      <c r="N81" s="2" t="s">
        <v>50</v>
      </c>
    </row>
    <row r="82" spans="1:14">
      <c r="A82" s="2" t="s">
        <v>249</v>
      </c>
      <c r="B82" s="5" t="s">
        <v>250</v>
      </c>
      <c r="C82" s="2" t="s">
        <v>186</v>
      </c>
      <c r="D82" s="2" t="s">
        <v>108</v>
      </c>
      <c r="E82" s="2" t="s">
        <v>33</v>
      </c>
      <c r="F82" s="2" t="s">
        <v>34</v>
      </c>
      <c r="G82" s="2" t="s">
        <v>20</v>
      </c>
      <c r="H82" s="2">
        <v>5</v>
      </c>
      <c r="I82" s="3">
        <v>43000</v>
      </c>
      <c r="J82" s="4">
        <v>0.05</v>
      </c>
      <c r="K82" s="3">
        <v>204250</v>
      </c>
      <c r="L82" s="3">
        <v>179554.82</v>
      </c>
      <c r="M82" s="2">
        <v>24695.18</v>
      </c>
      <c r="N82" s="2" t="s">
        <v>28</v>
      </c>
    </row>
    <row r="83" spans="1:14">
      <c r="A83" s="2" t="s">
        <v>251</v>
      </c>
      <c r="B83" s="5" t="s">
        <v>252</v>
      </c>
      <c r="C83" s="2" t="s">
        <v>53</v>
      </c>
      <c r="D83" s="2" t="s">
        <v>58</v>
      </c>
      <c r="E83" s="2" t="s">
        <v>33</v>
      </c>
      <c r="F83" s="2" t="s">
        <v>34</v>
      </c>
      <c r="G83" s="2" t="s">
        <v>20</v>
      </c>
      <c r="H83" s="2">
        <v>5</v>
      </c>
      <c r="I83" s="3">
        <v>27600</v>
      </c>
      <c r="J83" s="4">
        <v>0</v>
      </c>
      <c r="K83" s="3">
        <v>138000</v>
      </c>
      <c r="L83" s="3">
        <v>110665.81</v>
      </c>
      <c r="M83" s="2">
        <v>27334.19</v>
      </c>
      <c r="N83" s="2" t="s">
        <v>50</v>
      </c>
    </row>
    <row r="84" spans="1:14">
      <c r="A84" s="2" t="s">
        <v>253</v>
      </c>
      <c r="B84" s="5" t="s">
        <v>254</v>
      </c>
      <c r="C84" s="2" t="s">
        <v>186</v>
      </c>
      <c r="D84" s="2" t="s">
        <v>62</v>
      </c>
      <c r="E84" s="2" t="s">
        <v>33</v>
      </c>
      <c r="F84" s="2" t="s">
        <v>40</v>
      </c>
      <c r="G84" s="2" t="s">
        <v>41</v>
      </c>
      <c r="H84" s="2">
        <v>2</v>
      </c>
      <c r="I84" s="3">
        <v>2300</v>
      </c>
      <c r="J84" s="4">
        <v>0</v>
      </c>
      <c r="K84" s="3">
        <v>4600</v>
      </c>
      <c r="L84" s="3">
        <v>3272.01</v>
      </c>
      <c r="M84" s="2">
        <v>1327.99</v>
      </c>
      <c r="N84" s="2" t="s">
        <v>35</v>
      </c>
    </row>
    <row r="85" spans="1:14">
      <c r="A85" s="2" t="s">
        <v>255</v>
      </c>
      <c r="B85" s="5" t="s">
        <v>256</v>
      </c>
      <c r="C85" s="2" t="s">
        <v>99</v>
      </c>
      <c r="D85" s="2" t="s">
        <v>58</v>
      </c>
      <c r="E85" s="2" t="s">
        <v>33</v>
      </c>
      <c r="F85" s="2" t="s">
        <v>27</v>
      </c>
      <c r="G85" s="2" t="s">
        <v>20</v>
      </c>
      <c r="H85" s="2">
        <v>3</v>
      </c>
      <c r="I85" s="3">
        <v>56800</v>
      </c>
      <c r="J85" s="4">
        <v>0.1</v>
      </c>
      <c r="K85" s="3">
        <v>153360</v>
      </c>
      <c r="L85" s="3">
        <v>139829.82</v>
      </c>
      <c r="M85" s="2">
        <v>13530.18</v>
      </c>
      <c r="N85" s="2" t="s">
        <v>28</v>
      </c>
    </row>
    <row r="86" spans="1:14">
      <c r="A86" s="2" t="s">
        <v>257</v>
      </c>
      <c r="B86" s="5" t="s">
        <v>258</v>
      </c>
      <c r="C86" s="2" t="s">
        <v>174</v>
      </c>
      <c r="D86" s="2" t="s">
        <v>17</v>
      </c>
      <c r="E86" s="2" t="s">
        <v>26</v>
      </c>
      <c r="F86" s="2" t="s">
        <v>67</v>
      </c>
      <c r="G86" s="2" t="s">
        <v>41</v>
      </c>
      <c r="H86" s="2">
        <v>1</v>
      </c>
      <c r="I86" s="3">
        <v>1800</v>
      </c>
      <c r="J86" s="4">
        <v>0.05</v>
      </c>
      <c r="K86" s="3">
        <v>1710</v>
      </c>
      <c r="L86" s="3">
        <v>1457.15</v>
      </c>
      <c r="M86" s="2">
        <v>252.85</v>
      </c>
      <c r="N86" s="2" t="s">
        <v>68</v>
      </c>
    </row>
    <row r="87" spans="1:14">
      <c r="A87" s="2" t="s">
        <v>259</v>
      </c>
      <c r="B87" s="5" t="s">
        <v>260</v>
      </c>
      <c r="C87" s="2" t="s">
        <v>127</v>
      </c>
      <c r="D87" s="2" t="s">
        <v>32</v>
      </c>
      <c r="E87" s="2" t="s">
        <v>33</v>
      </c>
      <c r="F87" s="2" t="s">
        <v>81</v>
      </c>
      <c r="G87" s="2" t="s">
        <v>41</v>
      </c>
      <c r="H87" s="2">
        <v>5</v>
      </c>
      <c r="I87" s="3">
        <v>5000</v>
      </c>
      <c r="J87" s="4">
        <v>0.1</v>
      </c>
      <c r="K87" s="3">
        <v>22500</v>
      </c>
      <c r="L87" s="3">
        <v>19195.77</v>
      </c>
      <c r="M87" s="2">
        <v>3304.23</v>
      </c>
      <c r="N87" s="2" t="s">
        <v>28</v>
      </c>
    </row>
    <row r="88" spans="1:14">
      <c r="A88" s="2" t="s">
        <v>261</v>
      </c>
      <c r="B88" s="5" t="s">
        <v>262</v>
      </c>
      <c r="C88" s="2" t="s">
        <v>84</v>
      </c>
      <c r="D88" s="2" t="s">
        <v>54</v>
      </c>
      <c r="E88" s="2" t="s">
        <v>26</v>
      </c>
      <c r="F88" s="2" t="s">
        <v>94</v>
      </c>
      <c r="G88" s="2" t="s">
        <v>41</v>
      </c>
      <c r="H88" s="2">
        <v>1</v>
      </c>
      <c r="I88" s="3">
        <v>7100</v>
      </c>
      <c r="J88" s="4">
        <v>0</v>
      </c>
      <c r="K88" s="3">
        <v>7100</v>
      </c>
      <c r="L88" s="3">
        <v>6090.98</v>
      </c>
      <c r="M88" s="2">
        <v>1009.02</v>
      </c>
      <c r="N88" s="2" t="s">
        <v>50</v>
      </c>
    </row>
    <row r="89" spans="1:14">
      <c r="A89" s="2" t="s">
        <v>263</v>
      </c>
      <c r="B89" s="5" t="s">
        <v>264</v>
      </c>
      <c r="C89" s="2" t="s">
        <v>149</v>
      </c>
      <c r="D89" s="2" t="s">
        <v>62</v>
      </c>
      <c r="E89" s="2" t="s">
        <v>26</v>
      </c>
      <c r="F89" s="2" t="s">
        <v>67</v>
      </c>
      <c r="G89" s="2" t="s">
        <v>41</v>
      </c>
      <c r="H89" s="2">
        <v>5</v>
      </c>
      <c r="I89" s="3">
        <v>2600</v>
      </c>
      <c r="J89" s="4">
        <v>0</v>
      </c>
      <c r="K89" s="3">
        <v>13000</v>
      </c>
      <c r="L89" s="3">
        <v>11438.89</v>
      </c>
      <c r="M89" s="2">
        <v>1561.11</v>
      </c>
      <c r="N89" s="2" t="s">
        <v>68</v>
      </c>
    </row>
    <row r="90" spans="1:14">
      <c r="A90" s="2" t="s">
        <v>265</v>
      </c>
      <c r="B90" s="5" t="s">
        <v>266</v>
      </c>
      <c r="C90" s="2" t="s">
        <v>102</v>
      </c>
      <c r="D90" s="2" t="s">
        <v>108</v>
      </c>
      <c r="E90" s="2" t="s">
        <v>26</v>
      </c>
      <c r="F90" s="2" t="s">
        <v>94</v>
      </c>
      <c r="G90" s="2" t="s">
        <v>41</v>
      </c>
      <c r="H90" s="2">
        <v>4</v>
      </c>
      <c r="I90" s="3">
        <v>8100</v>
      </c>
      <c r="J90" s="4">
        <v>0.1</v>
      </c>
      <c r="K90" s="3">
        <v>29160</v>
      </c>
      <c r="L90" s="3">
        <v>23208.05</v>
      </c>
      <c r="M90" s="2">
        <v>5951.95</v>
      </c>
      <c r="N90" s="2" t="s">
        <v>21</v>
      </c>
    </row>
    <row r="91" spans="1:14">
      <c r="A91" s="2" t="s">
        <v>267</v>
      </c>
      <c r="B91" s="5" t="s">
        <v>268</v>
      </c>
      <c r="C91" s="2" t="s">
        <v>234</v>
      </c>
      <c r="D91" s="2" t="s">
        <v>32</v>
      </c>
      <c r="E91" s="2" t="s">
        <v>18</v>
      </c>
      <c r="F91" s="2" t="s">
        <v>48</v>
      </c>
      <c r="G91" s="2" t="s">
        <v>49</v>
      </c>
      <c r="H91" s="2">
        <v>3</v>
      </c>
      <c r="I91" s="3">
        <v>17400</v>
      </c>
      <c r="J91" s="4">
        <v>0.1</v>
      </c>
      <c r="K91" s="3">
        <v>46980</v>
      </c>
      <c r="L91" s="3">
        <v>42492.19</v>
      </c>
      <c r="M91" s="2">
        <v>4487.8100000000004</v>
      </c>
      <c r="N91" s="2" t="s">
        <v>21</v>
      </c>
    </row>
    <row r="92" spans="1:14">
      <c r="A92" s="2" t="s">
        <v>269</v>
      </c>
      <c r="B92" s="5" t="s">
        <v>270</v>
      </c>
      <c r="C92" s="2" t="s">
        <v>246</v>
      </c>
      <c r="D92" s="2" t="s">
        <v>39</v>
      </c>
      <c r="E92" s="2" t="s">
        <v>26</v>
      </c>
      <c r="F92" s="2" t="s">
        <v>81</v>
      </c>
      <c r="G92" s="2" t="s">
        <v>41</v>
      </c>
      <c r="H92" s="2">
        <v>4</v>
      </c>
      <c r="I92" s="3">
        <v>5400</v>
      </c>
      <c r="J92" s="4">
        <v>0</v>
      </c>
      <c r="K92" s="3">
        <v>21600</v>
      </c>
      <c r="L92" s="3">
        <v>16652.849999999999</v>
      </c>
      <c r="M92" s="2">
        <v>4947.1499999999996</v>
      </c>
      <c r="N92" s="2" t="s">
        <v>21</v>
      </c>
    </row>
    <row r="93" spans="1:14">
      <c r="A93" s="2" t="s">
        <v>271</v>
      </c>
      <c r="B93" s="5" t="s">
        <v>272</v>
      </c>
      <c r="C93" s="2" t="s">
        <v>124</v>
      </c>
      <c r="D93" s="2" t="s">
        <v>39</v>
      </c>
      <c r="E93" s="2" t="s">
        <v>18</v>
      </c>
      <c r="F93" s="2" t="s">
        <v>27</v>
      </c>
      <c r="G93" s="2" t="s">
        <v>20</v>
      </c>
      <c r="H93" s="2">
        <v>5</v>
      </c>
      <c r="I93" s="3">
        <v>78600</v>
      </c>
      <c r="J93" s="4">
        <v>0.15</v>
      </c>
      <c r="K93" s="3">
        <v>334050</v>
      </c>
      <c r="L93" s="3">
        <v>299721.26</v>
      </c>
      <c r="M93" s="2">
        <v>34328.74</v>
      </c>
      <c r="N93" s="2" t="s">
        <v>21</v>
      </c>
    </row>
    <row r="94" spans="1:14">
      <c r="A94" s="2" t="s">
        <v>273</v>
      </c>
      <c r="B94" s="5" t="s">
        <v>274</v>
      </c>
      <c r="C94" s="2" t="s">
        <v>275</v>
      </c>
      <c r="D94" s="2" t="s">
        <v>108</v>
      </c>
      <c r="E94" s="2" t="s">
        <v>26</v>
      </c>
      <c r="F94" s="2" t="s">
        <v>94</v>
      </c>
      <c r="G94" s="2" t="s">
        <v>41</v>
      </c>
      <c r="H94" s="2">
        <v>2</v>
      </c>
      <c r="I94" s="3">
        <v>2100</v>
      </c>
      <c r="J94" s="4">
        <v>0.1</v>
      </c>
      <c r="K94" s="3">
        <v>3780</v>
      </c>
      <c r="L94" s="3">
        <v>3317.34</v>
      </c>
      <c r="M94" s="2">
        <v>462.66</v>
      </c>
      <c r="N94" s="2" t="s">
        <v>50</v>
      </c>
    </row>
    <row r="95" spans="1:14">
      <c r="A95" s="2" t="s">
        <v>276</v>
      </c>
      <c r="B95" s="5" t="s">
        <v>277</v>
      </c>
      <c r="C95" s="2" t="s">
        <v>278</v>
      </c>
      <c r="D95" s="2" t="s">
        <v>17</v>
      </c>
      <c r="E95" s="2" t="s">
        <v>26</v>
      </c>
      <c r="F95" s="2" t="s">
        <v>67</v>
      </c>
      <c r="G95" s="2" t="s">
        <v>41</v>
      </c>
      <c r="H95" s="2">
        <v>2</v>
      </c>
      <c r="I95" s="3">
        <v>2700</v>
      </c>
      <c r="J95" s="4">
        <v>0.1</v>
      </c>
      <c r="K95" s="3">
        <v>4860</v>
      </c>
      <c r="L95" s="3">
        <v>4266.91</v>
      </c>
      <c r="M95" s="2">
        <v>593.09</v>
      </c>
      <c r="N95" s="2" t="s">
        <v>50</v>
      </c>
    </row>
    <row r="96" spans="1:14">
      <c r="A96" s="2" t="s">
        <v>279</v>
      </c>
      <c r="B96" s="5" t="s">
        <v>280</v>
      </c>
      <c r="C96" s="2" t="s">
        <v>281</v>
      </c>
      <c r="D96" s="2" t="s">
        <v>54</v>
      </c>
      <c r="E96" s="2" t="s">
        <v>33</v>
      </c>
      <c r="F96" s="2" t="s">
        <v>94</v>
      </c>
      <c r="G96" s="2" t="s">
        <v>41</v>
      </c>
      <c r="H96" s="2">
        <v>2</v>
      </c>
      <c r="I96" s="3">
        <v>3000</v>
      </c>
      <c r="J96" s="4">
        <v>0.15</v>
      </c>
      <c r="K96" s="3">
        <v>5100</v>
      </c>
      <c r="L96" s="3">
        <v>5199.18</v>
      </c>
      <c r="M96" s="2">
        <v>-99.18</v>
      </c>
      <c r="N96" s="2" t="s">
        <v>21</v>
      </c>
    </row>
    <row r="97" spans="1:14">
      <c r="A97" s="2" t="s">
        <v>282</v>
      </c>
      <c r="B97" s="5" t="s">
        <v>283</v>
      </c>
      <c r="C97" s="2" t="s">
        <v>281</v>
      </c>
      <c r="D97" s="2" t="s">
        <v>66</v>
      </c>
      <c r="E97" s="2" t="s">
        <v>26</v>
      </c>
      <c r="F97" s="2" t="s">
        <v>94</v>
      </c>
      <c r="G97" s="2" t="s">
        <v>41</v>
      </c>
      <c r="H97" s="2">
        <v>4</v>
      </c>
      <c r="I97" s="3">
        <v>4600</v>
      </c>
      <c r="J97" s="4">
        <v>0.05</v>
      </c>
      <c r="K97" s="3">
        <v>17480</v>
      </c>
      <c r="L97" s="3">
        <v>13923.6</v>
      </c>
      <c r="M97" s="2">
        <v>3556.4</v>
      </c>
      <c r="N97" s="2" t="s">
        <v>35</v>
      </c>
    </row>
    <row r="98" spans="1:14">
      <c r="A98" s="2" t="s">
        <v>284</v>
      </c>
      <c r="B98" s="5" t="s">
        <v>285</v>
      </c>
      <c r="C98" s="2" t="s">
        <v>127</v>
      </c>
      <c r="D98" s="2" t="s">
        <v>62</v>
      </c>
      <c r="E98" s="2" t="s">
        <v>18</v>
      </c>
      <c r="F98" s="2" t="s">
        <v>34</v>
      </c>
      <c r="G98" s="2" t="s">
        <v>20</v>
      </c>
      <c r="H98" s="2">
        <v>5</v>
      </c>
      <c r="I98" s="3">
        <v>29400</v>
      </c>
      <c r="J98" s="4">
        <v>0.1</v>
      </c>
      <c r="K98" s="3">
        <v>132300</v>
      </c>
      <c r="L98" s="3">
        <v>124084.15</v>
      </c>
      <c r="M98" s="2">
        <v>8215.85</v>
      </c>
      <c r="N98" s="2" t="s">
        <v>21</v>
      </c>
    </row>
    <row r="99" spans="1:14">
      <c r="A99" s="2" t="s">
        <v>286</v>
      </c>
      <c r="B99" s="5" t="s">
        <v>277</v>
      </c>
      <c r="C99" s="2" t="s">
        <v>16</v>
      </c>
      <c r="D99" s="2" t="s">
        <v>32</v>
      </c>
      <c r="E99" s="2" t="s">
        <v>33</v>
      </c>
      <c r="F99" s="2" t="s">
        <v>40</v>
      </c>
      <c r="G99" s="2" t="s">
        <v>41</v>
      </c>
      <c r="H99" s="2">
        <v>5</v>
      </c>
      <c r="I99" s="3">
        <v>3600</v>
      </c>
      <c r="J99" s="4">
        <v>0.15</v>
      </c>
      <c r="K99" s="3">
        <v>15300</v>
      </c>
      <c r="L99" s="3">
        <v>13482.45</v>
      </c>
      <c r="M99" s="2">
        <v>1817.55</v>
      </c>
      <c r="N99" s="2" t="s">
        <v>35</v>
      </c>
    </row>
    <row r="100" spans="1:14">
      <c r="A100" s="2" t="s">
        <v>287</v>
      </c>
      <c r="B100" s="5" t="s">
        <v>288</v>
      </c>
      <c r="C100" s="2" t="s">
        <v>289</v>
      </c>
      <c r="D100" s="2" t="s">
        <v>39</v>
      </c>
      <c r="E100" s="2" t="s">
        <v>18</v>
      </c>
      <c r="F100" s="2" t="s">
        <v>67</v>
      </c>
      <c r="G100" s="2" t="s">
        <v>41</v>
      </c>
      <c r="H100" s="2">
        <v>2</v>
      </c>
      <c r="I100" s="3">
        <v>2700</v>
      </c>
      <c r="J100" s="4">
        <v>0.15</v>
      </c>
      <c r="K100" s="3">
        <v>4590</v>
      </c>
      <c r="L100" s="3">
        <v>3924.25</v>
      </c>
      <c r="M100" s="2">
        <v>665.75</v>
      </c>
      <c r="N100" s="2" t="s">
        <v>21</v>
      </c>
    </row>
    <row r="101" spans="1:14">
      <c r="A101" s="2" t="s">
        <v>290</v>
      </c>
      <c r="B101" s="5" t="s">
        <v>291</v>
      </c>
      <c r="C101" s="2" t="s">
        <v>130</v>
      </c>
      <c r="D101" s="2" t="s">
        <v>62</v>
      </c>
      <c r="E101" s="2" t="s">
        <v>33</v>
      </c>
      <c r="F101" s="2" t="s">
        <v>34</v>
      </c>
      <c r="G101" s="2" t="s">
        <v>20</v>
      </c>
      <c r="H101" s="2">
        <v>2</v>
      </c>
      <c r="I101" s="3">
        <v>31700</v>
      </c>
      <c r="J101" s="4">
        <v>0.15</v>
      </c>
      <c r="K101" s="3">
        <v>53890</v>
      </c>
      <c r="L101" s="3">
        <v>55345.97</v>
      </c>
      <c r="M101" s="2">
        <v>-1455.97</v>
      </c>
      <c r="N101" s="2" t="s">
        <v>50</v>
      </c>
    </row>
    <row r="102" spans="1:14">
      <c r="A102" s="2" t="s">
        <v>292</v>
      </c>
      <c r="B102" s="5" t="s">
        <v>293</v>
      </c>
      <c r="C102" s="2" t="s">
        <v>278</v>
      </c>
      <c r="D102" s="2" t="s">
        <v>66</v>
      </c>
      <c r="E102" s="2" t="s">
        <v>26</v>
      </c>
      <c r="F102" s="2" t="s">
        <v>94</v>
      </c>
      <c r="G102" s="2" t="s">
        <v>41</v>
      </c>
      <c r="H102" s="2">
        <v>5</v>
      </c>
      <c r="I102" s="3">
        <v>2700</v>
      </c>
      <c r="J102" s="4">
        <v>0.15</v>
      </c>
      <c r="K102" s="3">
        <v>11475</v>
      </c>
      <c r="L102" s="3">
        <v>9221.44</v>
      </c>
      <c r="M102" s="2">
        <v>2253.56</v>
      </c>
      <c r="N102" s="2" t="s">
        <v>21</v>
      </c>
    </row>
    <row r="103" spans="1:14">
      <c r="A103" s="2" t="s">
        <v>294</v>
      </c>
      <c r="B103" s="5" t="s">
        <v>295</v>
      </c>
      <c r="C103" s="2" t="s">
        <v>241</v>
      </c>
      <c r="D103" s="2" t="s">
        <v>32</v>
      </c>
      <c r="E103" s="2" t="s">
        <v>33</v>
      </c>
      <c r="F103" s="2" t="s">
        <v>81</v>
      </c>
      <c r="G103" s="2" t="s">
        <v>41</v>
      </c>
      <c r="H103" s="2">
        <v>5</v>
      </c>
      <c r="I103" s="3">
        <v>3300</v>
      </c>
      <c r="J103" s="4">
        <v>0.15</v>
      </c>
      <c r="K103" s="3">
        <v>14025</v>
      </c>
      <c r="L103" s="3">
        <v>13364.46</v>
      </c>
      <c r="M103" s="2">
        <v>660.54</v>
      </c>
      <c r="N103" s="2" t="s">
        <v>21</v>
      </c>
    </row>
    <row r="104" spans="1:14">
      <c r="A104" s="2" t="s">
        <v>296</v>
      </c>
      <c r="B104" s="5" t="s">
        <v>274</v>
      </c>
      <c r="C104" s="2" t="s">
        <v>297</v>
      </c>
      <c r="D104" s="2" t="s">
        <v>17</v>
      </c>
      <c r="E104" s="2" t="s">
        <v>33</v>
      </c>
      <c r="F104" s="2" t="s">
        <v>27</v>
      </c>
      <c r="G104" s="2" t="s">
        <v>20</v>
      </c>
      <c r="H104" s="2">
        <v>1</v>
      </c>
      <c r="I104" s="3">
        <v>76600</v>
      </c>
      <c r="J104" s="4">
        <v>0.05</v>
      </c>
      <c r="K104" s="3">
        <v>72770</v>
      </c>
      <c r="L104" s="3">
        <v>61757.39</v>
      </c>
      <c r="M104" s="2">
        <v>11012.61</v>
      </c>
      <c r="N104" s="2" t="s">
        <v>50</v>
      </c>
    </row>
    <row r="105" spans="1:14">
      <c r="A105" s="2" t="s">
        <v>298</v>
      </c>
      <c r="B105" s="5" t="s">
        <v>299</v>
      </c>
      <c r="C105" s="2" t="s">
        <v>300</v>
      </c>
      <c r="D105" s="2" t="s">
        <v>80</v>
      </c>
      <c r="E105" s="2" t="s">
        <v>33</v>
      </c>
      <c r="F105" s="2" t="s">
        <v>19</v>
      </c>
      <c r="G105" s="2" t="s">
        <v>20</v>
      </c>
      <c r="H105" s="2">
        <v>2</v>
      </c>
      <c r="I105" s="3">
        <v>20300</v>
      </c>
      <c r="J105" s="4">
        <v>0.1</v>
      </c>
      <c r="K105" s="3">
        <v>36540</v>
      </c>
      <c r="L105" s="3">
        <v>34943.800000000003</v>
      </c>
      <c r="M105" s="2">
        <v>1596.2</v>
      </c>
      <c r="N105" s="2" t="s">
        <v>35</v>
      </c>
    </row>
    <row r="106" spans="1:14">
      <c r="A106" s="2" t="s">
        <v>301</v>
      </c>
      <c r="B106" s="5" t="s">
        <v>123</v>
      </c>
      <c r="C106" s="2" t="s">
        <v>302</v>
      </c>
      <c r="D106" s="2" t="s">
        <v>66</v>
      </c>
      <c r="E106" s="2" t="s">
        <v>26</v>
      </c>
      <c r="F106" s="2" t="s">
        <v>48</v>
      </c>
      <c r="G106" s="2" t="s">
        <v>49</v>
      </c>
      <c r="H106" s="2">
        <v>2</v>
      </c>
      <c r="I106" s="3">
        <v>18000</v>
      </c>
      <c r="J106" s="4">
        <v>0.05</v>
      </c>
      <c r="K106" s="3">
        <v>34200</v>
      </c>
      <c r="L106" s="3">
        <v>28304.400000000001</v>
      </c>
      <c r="M106" s="2">
        <v>5895.6</v>
      </c>
      <c r="N106" s="2" t="s">
        <v>50</v>
      </c>
    </row>
    <row r="107" spans="1:14">
      <c r="A107" s="2" t="s">
        <v>303</v>
      </c>
      <c r="B107" s="5" t="s">
        <v>293</v>
      </c>
      <c r="C107" s="2" t="s">
        <v>297</v>
      </c>
      <c r="D107" s="2" t="s">
        <v>108</v>
      </c>
      <c r="E107" s="2" t="s">
        <v>18</v>
      </c>
      <c r="F107" s="2" t="s">
        <v>34</v>
      </c>
      <c r="G107" s="2" t="s">
        <v>20</v>
      </c>
      <c r="H107" s="2">
        <v>2</v>
      </c>
      <c r="I107" s="3">
        <v>43700</v>
      </c>
      <c r="J107" s="4">
        <v>0.15</v>
      </c>
      <c r="K107" s="3">
        <v>74290</v>
      </c>
      <c r="L107" s="3">
        <v>75388.25</v>
      </c>
      <c r="M107" s="2">
        <v>-1098.25</v>
      </c>
      <c r="N107" s="2" t="s">
        <v>35</v>
      </c>
    </row>
    <row r="108" spans="1:14">
      <c r="A108" s="2" t="s">
        <v>304</v>
      </c>
      <c r="B108" s="5" t="s">
        <v>305</v>
      </c>
      <c r="C108" s="2" t="s">
        <v>16</v>
      </c>
      <c r="D108" s="2" t="s">
        <v>66</v>
      </c>
      <c r="E108" s="2" t="s">
        <v>26</v>
      </c>
      <c r="F108" s="2" t="s">
        <v>94</v>
      </c>
      <c r="G108" s="2" t="s">
        <v>41</v>
      </c>
      <c r="H108" s="2">
        <v>1</v>
      </c>
      <c r="I108" s="3">
        <v>4700</v>
      </c>
      <c r="J108" s="4">
        <v>0.15</v>
      </c>
      <c r="K108" s="3">
        <v>3995</v>
      </c>
      <c r="L108" s="3">
        <v>4043.14</v>
      </c>
      <c r="M108" s="2">
        <v>-48.14</v>
      </c>
      <c r="N108" s="2" t="s">
        <v>21</v>
      </c>
    </row>
    <row r="109" spans="1:14">
      <c r="A109" s="2" t="s">
        <v>306</v>
      </c>
      <c r="B109" s="5" t="s">
        <v>307</v>
      </c>
      <c r="C109" s="2" t="s">
        <v>127</v>
      </c>
      <c r="D109" s="2" t="s">
        <v>58</v>
      </c>
      <c r="E109" s="2" t="s">
        <v>33</v>
      </c>
      <c r="F109" s="2" t="s">
        <v>48</v>
      </c>
      <c r="G109" s="2" t="s">
        <v>49</v>
      </c>
      <c r="H109" s="2">
        <v>3</v>
      </c>
      <c r="I109" s="3">
        <v>22000</v>
      </c>
      <c r="J109" s="4">
        <v>0.15</v>
      </c>
      <c r="K109" s="3">
        <v>56100</v>
      </c>
      <c r="L109" s="3">
        <v>53992.14</v>
      </c>
      <c r="M109" s="2">
        <v>2107.86</v>
      </c>
      <c r="N109" s="2" t="s">
        <v>21</v>
      </c>
    </row>
    <row r="110" spans="1:14">
      <c r="A110" s="2" t="s">
        <v>308</v>
      </c>
      <c r="B110" s="5" t="s">
        <v>309</v>
      </c>
      <c r="C110" s="2" t="s">
        <v>47</v>
      </c>
      <c r="D110" s="2" t="s">
        <v>80</v>
      </c>
      <c r="E110" s="2" t="s">
        <v>18</v>
      </c>
      <c r="F110" s="2" t="s">
        <v>19</v>
      </c>
      <c r="G110" s="2" t="s">
        <v>20</v>
      </c>
      <c r="H110" s="2">
        <v>4</v>
      </c>
      <c r="I110" s="3">
        <v>15000</v>
      </c>
      <c r="J110" s="4">
        <v>0.1</v>
      </c>
      <c r="K110" s="3">
        <v>54000</v>
      </c>
      <c r="L110" s="3">
        <v>47697.74</v>
      </c>
      <c r="M110" s="2">
        <v>6302.26</v>
      </c>
      <c r="N110" s="2" t="s">
        <v>21</v>
      </c>
    </row>
    <row r="111" spans="1:14">
      <c r="A111" s="2" t="s">
        <v>310</v>
      </c>
      <c r="B111" s="5" t="s">
        <v>311</v>
      </c>
      <c r="C111" s="2" t="s">
        <v>312</v>
      </c>
      <c r="D111" s="2" t="s">
        <v>58</v>
      </c>
      <c r="E111" s="2" t="s">
        <v>18</v>
      </c>
      <c r="F111" s="2" t="s">
        <v>81</v>
      </c>
      <c r="G111" s="2" t="s">
        <v>41</v>
      </c>
      <c r="H111" s="2">
        <v>5</v>
      </c>
      <c r="I111" s="3">
        <v>1200</v>
      </c>
      <c r="J111" s="4">
        <v>0</v>
      </c>
      <c r="K111" s="3">
        <v>6000</v>
      </c>
      <c r="L111" s="3">
        <v>5172.74</v>
      </c>
      <c r="M111" s="2">
        <v>827.26</v>
      </c>
      <c r="N111" s="2" t="s">
        <v>35</v>
      </c>
    </row>
    <row r="112" spans="1:14">
      <c r="A112" s="2" t="s">
        <v>313</v>
      </c>
      <c r="B112" s="5" t="s">
        <v>314</v>
      </c>
      <c r="C112" s="2" t="s">
        <v>135</v>
      </c>
      <c r="D112" s="2" t="s">
        <v>17</v>
      </c>
      <c r="E112" s="2" t="s">
        <v>18</v>
      </c>
      <c r="F112" s="2" t="s">
        <v>67</v>
      </c>
      <c r="G112" s="2" t="s">
        <v>41</v>
      </c>
      <c r="H112" s="2">
        <v>2</v>
      </c>
      <c r="I112" s="3">
        <v>2500</v>
      </c>
      <c r="J112" s="4">
        <v>0.1</v>
      </c>
      <c r="K112" s="3">
        <v>4500</v>
      </c>
      <c r="L112" s="3">
        <v>4077.76</v>
      </c>
      <c r="M112" s="2">
        <v>422.24</v>
      </c>
      <c r="N112" s="2" t="s">
        <v>50</v>
      </c>
    </row>
    <row r="113" spans="1:14">
      <c r="A113" s="2" t="s">
        <v>315</v>
      </c>
      <c r="B113" s="5" t="s">
        <v>316</v>
      </c>
      <c r="C113" s="2" t="s">
        <v>317</v>
      </c>
      <c r="D113" s="2" t="s">
        <v>54</v>
      </c>
      <c r="E113" s="2" t="s">
        <v>33</v>
      </c>
      <c r="F113" s="2" t="s">
        <v>81</v>
      </c>
      <c r="G113" s="2" t="s">
        <v>41</v>
      </c>
      <c r="H113" s="2">
        <v>4</v>
      </c>
      <c r="I113" s="3">
        <v>6200</v>
      </c>
      <c r="J113" s="4">
        <v>0</v>
      </c>
      <c r="K113" s="3">
        <v>24800</v>
      </c>
      <c r="L113" s="3">
        <v>19738.689999999999</v>
      </c>
      <c r="M113" s="2">
        <v>5061.3100000000004</v>
      </c>
      <c r="N113" s="2" t="s">
        <v>21</v>
      </c>
    </row>
    <row r="114" spans="1:14">
      <c r="A114" s="2" t="s">
        <v>318</v>
      </c>
      <c r="B114" s="5" t="s">
        <v>319</v>
      </c>
      <c r="C114" s="2" t="s">
        <v>111</v>
      </c>
      <c r="D114" s="2" t="s">
        <v>54</v>
      </c>
      <c r="E114" s="2" t="s">
        <v>33</v>
      </c>
      <c r="F114" s="2" t="s">
        <v>40</v>
      </c>
      <c r="G114" s="2" t="s">
        <v>41</v>
      </c>
      <c r="H114" s="2">
        <v>2</v>
      </c>
      <c r="I114" s="3">
        <v>2000</v>
      </c>
      <c r="J114" s="4">
        <v>0.1</v>
      </c>
      <c r="K114" s="3">
        <v>3600</v>
      </c>
      <c r="L114" s="3">
        <v>3144.68</v>
      </c>
      <c r="M114" s="2">
        <v>455.32</v>
      </c>
      <c r="N114" s="2" t="s">
        <v>35</v>
      </c>
    </row>
    <row r="115" spans="1:14">
      <c r="A115" s="2" t="s">
        <v>320</v>
      </c>
      <c r="B115" s="5" t="s">
        <v>321</v>
      </c>
      <c r="C115" s="2" t="s">
        <v>322</v>
      </c>
      <c r="D115" s="2" t="s">
        <v>32</v>
      </c>
      <c r="E115" s="2" t="s">
        <v>18</v>
      </c>
      <c r="F115" s="2" t="s">
        <v>48</v>
      </c>
      <c r="G115" s="2" t="s">
        <v>49</v>
      </c>
      <c r="H115" s="2">
        <v>1</v>
      </c>
      <c r="I115" s="3">
        <v>27500</v>
      </c>
      <c r="J115" s="4">
        <v>0.15</v>
      </c>
      <c r="K115" s="3">
        <v>23375</v>
      </c>
      <c r="L115" s="3">
        <v>23995.91</v>
      </c>
      <c r="M115" s="2">
        <v>-620.91</v>
      </c>
      <c r="N115" s="2" t="s">
        <v>35</v>
      </c>
    </row>
    <row r="116" spans="1:14">
      <c r="A116" s="2" t="s">
        <v>323</v>
      </c>
      <c r="B116" s="5" t="s">
        <v>324</v>
      </c>
      <c r="C116" s="2" t="s">
        <v>65</v>
      </c>
      <c r="D116" s="2" t="s">
        <v>39</v>
      </c>
      <c r="E116" s="2" t="s">
        <v>18</v>
      </c>
      <c r="F116" s="2" t="s">
        <v>19</v>
      </c>
      <c r="G116" s="2" t="s">
        <v>20</v>
      </c>
      <c r="H116" s="2">
        <v>4</v>
      </c>
      <c r="I116" s="3">
        <v>29200</v>
      </c>
      <c r="J116" s="4">
        <v>0</v>
      </c>
      <c r="K116" s="3">
        <v>116800</v>
      </c>
      <c r="L116" s="3">
        <v>85601.75</v>
      </c>
      <c r="M116" s="2">
        <v>31198.25</v>
      </c>
      <c r="N116" s="2" t="s">
        <v>35</v>
      </c>
    </row>
    <row r="117" spans="1:14">
      <c r="A117" s="2" t="s">
        <v>325</v>
      </c>
      <c r="B117" s="5" t="s">
        <v>326</v>
      </c>
      <c r="C117" s="2" t="s">
        <v>24</v>
      </c>
      <c r="D117" s="2" t="s">
        <v>62</v>
      </c>
      <c r="E117" s="2" t="s">
        <v>18</v>
      </c>
      <c r="F117" s="2" t="s">
        <v>34</v>
      </c>
      <c r="G117" s="2" t="s">
        <v>20</v>
      </c>
      <c r="H117" s="2">
        <v>3</v>
      </c>
      <c r="I117" s="3">
        <v>54100</v>
      </c>
      <c r="J117" s="4">
        <v>0</v>
      </c>
      <c r="K117" s="3">
        <v>162300</v>
      </c>
      <c r="L117" s="3">
        <v>132269.19</v>
      </c>
      <c r="M117" s="2">
        <v>30030.81</v>
      </c>
      <c r="N117" s="2" t="s">
        <v>35</v>
      </c>
    </row>
    <row r="118" spans="1:14">
      <c r="A118" s="2" t="s">
        <v>327</v>
      </c>
      <c r="B118" s="5" t="s">
        <v>328</v>
      </c>
      <c r="C118" s="2" t="s">
        <v>278</v>
      </c>
      <c r="D118" s="2" t="s">
        <v>17</v>
      </c>
      <c r="E118" s="2" t="s">
        <v>26</v>
      </c>
      <c r="F118" s="2" t="s">
        <v>67</v>
      </c>
      <c r="G118" s="2" t="s">
        <v>41</v>
      </c>
      <c r="H118" s="2">
        <v>1</v>
      </c>
      <c r="I118" s="3">
        <v>2500</v>
      </c>
      <c r="J118" s="4">
        <v>0.15</v>
      </c>
      <c r="K118" s="3">
        <v>2125</v>
      </c>
      <c r="L118" s="3">
        <v>2154.69</v>
      </c>
      <c r="M118" s="2">
        <v>-29.69</v>
      </c>
      <c r="N118" s="2" t="s">
        <v>50</v>
      </c>
    </row>
    <row r="119" spans="1:14">
      <c r="A119" s="2" t="s">
        <v>329</v>
      </c>
      <c r="B119" s="5" t="s">
        <v>330</v>
      </c>
      <c r="C119" s="2" t="s">
        <v>135</v>
      </c>
      <c r="D119" s="2" t="s">
        <v>32</v>
      </c>
      <c r="E119" s="2" t="s">
        <v>33</v>
      </c>
      <c r="F119" s="2" t="s">
        <v>27</v>
      </c>
      <c r="G119" s="2" t="s">
        <v>20</v>
      </c>
      <c r="H119" s="2">
        <v>4</v>
      </c>
      <c r="I119" s="3">
        <v>60500</v>
      </c>
      <c r="J119" s="4">
        <v>0</v>
      </c>
      <c r="K119" s="3">
        <v>242000</v>
      </c>
      <c r="L119" s="3">
        <v>169264.09</v>
      </c>
      <c r="M119" s="2">
        <v>72735.91</v>
      </c>
      <c r="N119" s="2" t="s">
        <v>35</v>
      </c>
    </row>
    <row r="120" spans="1:14">
      <c r="A120" s="2" t="s">
        <v>331</v>
      </c>
      <c r="B120" s="5" t="s">
        <v>86</v>
      </c>
      <c r="C120" s="2" t="s">
        <v>223</v>
      </c>
      <c r="D120" s="2" t="s">
        <v>32</v>
      </c>
      <c r="E120" s="2" t="s">
        <v>33</v>
      </c>
      <c r="F120" s="2" t="s">
        <v>34</v>
      </c>
      <c r="G120" s="2" t="s">
        <v>20</v>
      </c>
      <c r="H120" s="2">
        <v>2</v>
      </c>
      <c r="I120" s="3">
        <v>42000</v>
      </c>
      <c r="J120" s="4">
        <v>0.15</v>
      </c>
      <c r="K120" s="3">
        <v>71400</v>
      </c>
      <c r="L120" s="3">
        <v>68122.69</v>
      </c>
      <c r="M120" s="2">
        <v>3277.31</v>
      </c>
      <c r="N120" s="2" t="s">
        <v>50</v>
      </c>
    </row>
    <row r="121" spans="1:14">
      <c r="A121" s="2" t="s">
        <v>332</v>
      </c>
      <c r="B121" s="5" t="s">
        <v>219</v>
      </c>
      <c r="C121" s="2" t="s">
        <v>333</v>
      </c>
      <c r="D121" s="2" t="s">
        <v>39</v>
      </c>
      <c r="E121" s="2" t="s">
        <v>18</v>
      </c>
      <c r="F121" s="2" t="s">
        <v>48</v>
      </c>
      <c r="G121" s="2" t="s">
        <v>49</v>
      </c>
      <c r="H121" s="2">
        <v>4</v>
      </c>
      <c r="I121" s="3">
        <v>12500</v>
      </c>
      <c r="J121" s="4">
        <v>0.15</v>
      </c>
      <c r="K121" s="3">
        <v>42500</v>
      </c>
      <c r="L121" s="3">
        <v>43505.55</v>
      </c>
      <c r="M121" s="2">
        <v>-1005.55</v>
      </c>
      <c r="N121" s="2" t="s">
        <v>35</v>
      </c>
    </row>
    <row r="122" spans="1:14">
      <c r="A122" s="2" t="s">
        <v>334</v>
      </c>
      <c r="B122" s="5" t="s">
        <v>256</v>
      </c>
      <c r="C122" s="2" t="s">
        <v>317</v>
      </c>
      <c r="D122" s="2" t="s">
        <v>58</v>
      </c>
      <c r="E122" s="2" t="s">
        <v>18</v>
      </c>
      <c r="F122" s="2" t="s">
        <v>27</v>
      </c>
      <c r="G122" s="2" t="s">
        <v>20</v>
      </c>
      <c r="H122" s="2">
        <v>3</v>
      </c>
      <c r="I122" s="3">
        <v>65300</v>
      </c>
      <c r="J122" s="4">
        <v>0.05</v>
      </c>
      <c r="K122" s="3">
        <v>186105</v>
      </c>
      <c r="L122" s="3">
        <v>171146.35</v>
      </c>
      <c r="M122" s="2">
        <v>14958.65</v>
      </c>
      <c r="N122" s="2" t="s">
        <v>28</v>
      </c>
    </row>
    <row r="123" spans="1:14">
      <c r="A123" s="2" t="s">
        <v>335</v>
      </c>
      <c r="B123" s="5" t="s">
        <v>123</v>
      </c>
      <c r="C123" s="2" t="s">
        <v>53</v>
      </c>
      <c r="D123" s="2" t="s">
        <v>17</v>
      </c>
      <c r="E123" s="2" t="s">
        <v>18</v>
      </c>
      <c r="F123" s="2" t="s">
        <v>27</v>
      </c>
      <c r="G123" s="2" t="s">
        <v>20</v>
      </c>
      <c r="H123" s="2">
        <v>3</v>
      </c>
      <c r="I123" s="3">
        <v>47500</v>
      </c>
      <c r="J123" s="4">
        <v>0.05</v>
      </c>
      <c r="K123" s="3">
        <v>135375</v>
      </c>
      <c r="L123" s="3">
        <v>125081.4</v>
      </c>
      <c r="M123" s="2">
        <v>10293.6</v>
      </c>
      <c r="N123" s="2" t="s">
        <v>68</v>
      </c>
    </row>
    <row r="124" spans="1:14">
      <c r="A124" s="2" t="s">
        <v>336</v>
      </c>
      <c r="B124" s="5" t="s">
        <v>337</v>
      </c>
      <c r="C124" s="2" t="s">
        <v>162</v>
      </c>
      <c r="D124" s="2" t="s">
        <v>54</v>
      </c>
      <c r="E124" s="2" t="s">
        <v>26</v>
      </c>
      <c r="F124" s="2" t="s">
        <v>67</v>
      </c>
      <c r="G124" s="2" t="s">
        <v>41</v>
      </c>
      <c r="H124" s="2">
        <v>3</v>
      </c>
      <c r="I124" s="3">
        <v>1200</v>
      </c>
      <c r="J124" s="4">
        <v>0.05</v>
      </c>
      <c r="K124" s="3">
        <v>3420</v>
      </c>
      <c r="L124" s="3">
        <v>3015.82</v>
      </c>
      <c r="M124" s="2">
        <v>404.18</v>
      </c>
      <c r="N124" s="2" t="s">
        <v>68</v>
      </c>
    </row>
    <row r="125" spans="1:14">
      <c r="A125" s="2" t="s">
        <v>338</v>
      </c>
      <c r="B125" s="5" t="s">
        <v>211</v>
      </c>
      <c r="C125" s="2" t="s">
        <v>140</v>
      </c>
      <c r="D125" s="2" t="s">
        <v>80</v>
      </c>
      <c r="E125" s="2" t="s">
        <v>33</v>
      </c>
      <c r="F125" s="2" t="s">
        <v>81</v>
      </c>
      <c r="G125" s="2" t="s">
        <v>41</v>
      </c>
      <c r="H125" s="2">
        <v>2</v>
      </c>
      <c r="I125" s="3">
        <v>6300</v>
      </c>
      <c r="J125" s="4">
        <v>0</v>
      </c>
      <c r="K125" s="3">
        <v>12600</v>
      </c>
      <c r="L125" s="3">
        <v>10233.870000000001</v>
      </c>
      <c r="M125" s="2">
        <v>2366.13</v>
      </c>
      <c r="N125" s="2" t="s">
        <v>68</v>
      </c>
    </row>
    <row r="126" spans="1:14">
      <c r="A126" s="2" t="s">
        <v>339</v>
      </c>
      <c r="B126" s="5" t="s">
        <v>192</v>
      </c>
      <c r="C126" s="2" t="s">
        <v>183</v>
      </c>
      <c r="D126" s="2" t="s">
        <v>17</v>
      </c>
      <c r="E126" s="2" t="s">
        <v>18</v>
      </c>
      <c r="F126" s="2" t="s">
        <v>48</v>
      </c>
      <c r="G126" s="2" t="s">
        <v>49</v>
      </c>
      <c r="H126" s="2">
        <v>2</v>
      </c>
      <c r="I126" s="3">
        <v>7400</v>
      </c>
      <c r="J126" s="4">
        <v>0.1</v>
      </c>
      <c r="K126" s="3">
        <v>13320</v>
      </c>
      <c r="L126" s="3">
        <v>10219.1</v>
      </c>
      <c r="M126" s="2">
        <v>3100.9</v>
      </c>
      <c r="N126" s="2" t="s">
        <v>50</v>
      </c>
    </row>
    <row r="127" spans="1:14">
      <c r="A127" s="2" t="s">
        <v>340</v>
      </c>
      <c r="B127" s="5" t="s">
        <v>341</v>
      </c>
      <c r="C127" s="2" t="s">
        <v>223</v>
      </c>
      <c r="D127" s="2" t="s">
        <v>80</v>
      </c>
      <c r="E127" s="2" t="s">
        <v>18</v>
      </c>
      <c r="F127" s="2" t="s">
        <v>94</v>
      </c>
      <c r="G127" s="2" t="s">
        <v>41</v>
      </c>
      <c r="H127" s="2">
        <v>3</v>
      </c>
      <c r="I127" s="3">
        <v>7200</v>
      </c>
      <c r="J127" s="4">
        <v>0</v>
      </c>
      <c r="K127" s="3">
        <v>21600</v>
      </c>
      <c r="L127" s="3">
        <v>16640.66</v>
      </c>
      <c r="M127" s="2">
        <v>4959.34</v>
      </c>
      <c r="N127" s="2" t="s">
        <v>28</v>
      </c>
    </row>
    <row r="128" spans="1:14">
      <c r="A128" s="2" t="s">
        <v>342</v>
      </c>
      <c r="B128" s="5" t="s">
        <v>343</v>
      </c>
      <c r="C128" s="2" t="s">
        <v>93</v>
      </c>
      <c r="D128" s="2" t="s">
        <v>17</v>
      </c>
      <c r="E128" s="2" t="s">
        <v>33</v>
      </c>
      <c r="F128" s="2" t="s">
        <v>81</v>
      </c>
      <c r="G128" s="2" t="s">
        <v>41</v>
      </c>
      <c r="H128" s="2">
        <v>1</v>
      </c>
      <c r="I128" s="3">
        <v>4100</v>
      </c>
      <c r="J128" s="4">
        <v>0</v>
      </c>
      <c r="K128" s="3">
        <v>4100</v>
      </c>
      <c r="L128" s="3">
        <v>3606.84</v>
      </c>
      <c r="M128" s="2">
        <v>493.16</v>
      </c>
      <c r="N128" s="2" t="s">
        <v>21</v>
      </c>
    </row>
    <row r="129" spans="1:14">
      <c r="A129" s="2" t="s">
        <v>344</v>
      </c>
      <c r="B129" s="5" t="s">
        <v>345</v>
      </c>
      <c r="C129" s="2" t="s">
        <v>346</v>
      </c>
      <c r="D129" s="2" t="s">
        <v>62</v>
      </c>
      <c r="E129" s="2" t="s">
        <v>18</v>
      </c>
      <c r="F129" s="2" t="s">
        <v>19</v>
      </c>
      <c r="G129" s="2" t="s">
        <v>20</v>
      </c>
      <c r="H129" s="2">
        <v>3</v>
      </c>
      <c r="I129" s="3">
        <v>11000</v>
      </c>
      <c r="J129" s="4">
        <v>0.05</v>
      </c>
      <c r="K129" s="3">
        <v>31350</v>
      </c>
      <c r="L129" s="3">
        <v>22873.5</v>
      </c>
      <c r="M129" s="2">
        <v>8476.5</v>
      </c>
      <c r="N129" s="2" t="s">
        <v>35</v>
      </c>
    </row>
    <row r="130" spans="1:14">
      <c r="A130" s="2" t="s">
        <v>347</v>
      </c>
      <c r="B130" s="5" t="s">
        <v>348</v>
      </c>
      <c r="C130" s="2" t="s">
        <v>102</v>
      </c>
      <c r="D130" s="2" t="s">
        <v>17</v>
      </c>
      <c r="E130" s="2" t="s">
        <v>18</v>
      </c>
      <c r="F130" s="2" t="s">
        <v>34</v>
      </c>
      <c r="G130" s="2" t="s">
        <v>20</v>
      </c>
      <c r="H130" s="2">
        <v>5</v>
      </c>
      <c r="I130" s="3">
        <v>42500</v>
      </c>
      <c r="J130" s="4">
        <v>0.1</v>
      </c>
      <c r="K130" s="3">
        <v>191250</v>
      </c>
      <c r="L130" s="3">
        <v>163782.91</v>
      </c>
      <c r="M130" s="2">
        <v>27467.09</v>
      </c>
      <c r="N130" s="2" t="s">
        <v>50</v>
      </c>
    </row>
    <row r="131" spans="1:14">
      <c r="A131" s="2" t="s">
        <v>349</v>
      </c>
      <c r="B131" s="5" t="s">
        <v>256</v>
      </c>
      <c r="C131" s="2" t="s">
        <v>121</v>
      </c>
      <c r="D131" s="2" t="s">
        <v>32</v>
      </c>
      <c r="E131" s="2" t="s">
        <v>18</v>
      </c>
      <c r="F131" s="2" t="s">
        <v>67</v>
      </c>
      <c r="G131" s="2" t="s">
        <v>41</v>
      </c>
      <c r="H131" s="2">
        <v>4</v>
      </c>
      <c r="I131" s="3">
        <v>1800</v>
      </c>
      <c r="J131" s="4">
        <v>0.05</v>
      </c>
      <c r="K131" s="3">
        <v>6840</v>
      </c>
      <c r="L131" s="3">
        <v>5491.89</v>
      </c>
      <c r="M131" s="2">
        <v>1348.11</v>
      </c>
      <c r="N131" s="2" t="s">
        <v>50</v>
      </c>
    </row>
    <row r="132" spans="1:14">
      <c r="A132" s="2" t="s">
        <v>350</v>
      </c>
      <c r="B132" s="5" t="s">
        <v>190</v>
      </c>
      <c r="C132" s="2" t="s">
        <v>351</v>
      </c>
      <c r="D132" s="2" t="s">
        <v>17</v>
      </c>
      <c r="E132" s="2" t="s">
        <v>26</v>
      </c>
      <c r="F132" s="2" t="s">
        <v>48</v>
      </c>
      <c r="G132" s="2" t="s">
        <v>49</v>
      </c>
      <c r="H132" s="2">
        <v>3</v>
      </c>
      <c r="I132" s="3">
        <v>17900</v>
      </c>
      <c r="J132" s="4">
        <v>0.1</v>
      </c>
      <c r="K132" s="3">
        <v>48330</v>
      </c>
      <c r="L132" s="3">
        <v>40535.99</v>
      </c>
      <c r="M132" s="2">
        <v>7794.01</v>
      </c>
      <c r="N132" s="2" t="s">
        <v>50</v>
      </c>
    </row>
    <row r="133" spans="1:14">
      <c r="A133" s="2" t="s">
        <v>352</v>
      </c>
      <c r="B133" s="5" t="s">
        <v>353</v>
      </c>
      <c r="C133" s="2" t="s">
        <v>354</v>
      </c>
      <c r="D133" s="2" t="s">
        <v>62</v>
      </c>
      <c r="E133" s="2" t="s">
        <v>18</v>
      </c>
      <c r="F133" s="2" t="s">
        <v>19</v>
      </c>
      <c r="G133" s="2" t="s">
        <v>20</v>
      </c>
      <c r="H133" s="2">
        <v>1</v>
      </c>
      <c r="I133" s="3">
        <v>20000</v>
      </c>
      <c r="J133" s="4">
        <v>0.1</v>
      </c>
      <c r="K133" s="3">
        <v>18000</v>
      </c>
      <c r="L133" s="3">
        <v>16847.080000000002</v>
      </c>
      <c r="M133" s="2">
        <v>1152.92</v>
      </c>
      <c r="N133" s="2" t="s">
        <v>28</v>
      </c>
    </row>
    <row r="134" spans="1:14">
      <c r="A134" s="2" t="s">
        <v>355</v>
      </c>
      <c r="B134" s="5" t="s">
        <v>356</v>
      </c>
      <c r="C134" s="2" t="s">
        <v>93</v>
      </c>
      <c r="D134" s="2" t="s">
        <v>80</v>
      </c>
      <c r="E134" s="2" t="s">
        <v>33</v>
      </c>
      <c r="F134" s="2" t="s">
        <v>48</v>
      </c>
      <c r="G134" s="2" t="s">
        <v>49</v>
      </c>
      <c r="H134" s="2">
        <v>1</v>
      </c>
      <c r="I134" s="3">
        <v>24100</v>
      </c>
      <c r="J134" s="4">
        <v>0.15</v>
      </c>
      <c r="K134" s="3">
        <v>20485</v>
      </c>
      <c r="L134" s="3">
        <v>18092.34</v>
      </c>
      <c r="M134" s="2">
        <v>2392.66</v>
      </c>
      <c r="N134" s="2" t="s">
        <v>28</v>
      </c>
    </row>
    <row r="135" spans="1:14">
      <c r="A135" s="2" t="s">
        <v>357</v>
      </c>
      <c r="B135" s="5" t="s">
        <v>358</v>
      </c>
      <c r="C135" s="2" t="s">
        <v>322</v>
      </c>
      <c r="D135" s="2" t="s">
        <v>17</v>
      </c>
      <c r="E135" s="2" t="s">
        <v>33</v>
      </c>
      <c r="F135" s="2" t="s">
        <v>81</v>
      </c>
      <c r="G135" s="2" t="s">
        <v>41</v>
      </c>
      <c r="H135" s="2">
        <v>1</v>
      </c>
      <c r="I135" s="3">
        <v>3400</v>
      </c>
      <c r="J135" s="4">
        <v>0.05</v>
      </c>
      <c r="K135" s="3">
        <v>3230</v>
      </c>
      <c r="L135" s="3">
        <v>2417.2199999999998</v>
      </c>
      <c r="M135" s="2">
        <v>812.78</v>
      </c>
      <c r="N135" s="2" t="s">
        <v>28</v>
      </c>
    </row>
    <row r="136" spans="1:14">
      <c r="A136" s="2" t="s">
        <v>359</v>
      </c>
      <c r="B136" s="5" t="s">
        <v>360</v>
      </c>
      <c r="C136" s="2" t="s">
        <v>346</v>
      </c>
      <c r="D136" s="2" t="s">
        <v>62</v>
      </c>
      <c r="E136" s="2" t="s">
        <v>18</v>
      </c>
      <c r="F136" s="2" t="s">
        <v>48</v>
      </c>
      <c r="G136" s="2" t="s">
        <v>49</v>
      </c>
      <c r="H136" s="2">
        <v>3</v>
      </c>
      <c r="I136" s="3">
        <v>9900</v>
      </c>
      <c r="J136" s="4">
        <v>0.05</v>
      </c>
      <c r="K136" s="3">
        <v>28215</v>
      </c>
      <c r="L136" s="3">
        <v>24990.89</v>
      </c>
      <c r="M136" s="2">
        <v>3224.11</v>
      </c>
      <c r="N136" s="2" t="s">
        <v>28</v>
      </c>
    </row>
    <row r="137" spans="1:14">
      <c r="A137" s="2" t="s">
        <v>361</v>
      </c>
      <c r="B137" s="5" t="s">
        <v>362</v>
      </c>
      <c r="C137" s="2" t="s">
        <v>212</v>
      </c>
      <c r="D137" s="2" t="s">
        <v>39</v>
      </c>
      <c r="E137" s="2" t="s">
        <v>33</v>
      </c>
      <c r="F137" s="2" t="s">
        <v>27</v>
      </c>
      <c r="G137" s="2" t="s">
        <v>20</v>
      </c>
      <c r="H137" s="2">
        <v>3</v>
      </c>
      <c r="I137" s="3">
        <v>76100</v>
      </c>
      <c r="J137" s="4">
        <v>0</v>
      </c>
      <c r="K137" s="3">
        <v>228300</v>
      </c>
      <c r="L137" s="3">
        <v>163481.79999999999</v>
      </c>
      <c r="M137" s="2">
        <v>64818.2</v>
      </c>
      <c r="N137" s="2" t="s">
        <v>50</v>
      </c>
    </row>
    <row r="138" spans="1:14">
      <c r="A138" s="2" t="s">
        <v>363</v>
      </c>
      <c r="B138" s="5" t="s">
        <v>364</v>
      </c>
      <c r="C138" s="2" t="s">
        <v>24</v>
      </c>
      <c r="D138" s="2" t="s">
        <v>17</v>
      </c>
      <c r="E138" s="2" t="s">
        <v>18</v>
      </c>
      <c r="F138" s="2" t="s">
        <v>40</v>
      </c>
      <c r="G138" s="2" t="s">
        <v>41</v>
      </c>
      <c r="H138" s="2">
        <v>5</v>
      </c>
      <c r="I138" s="3">
        <v>1700</v>
      </c>
      <c r="J138" s="4">
        <v>0.15</v>
      </c>
      <c r="K138" s="3">
        <v>7225</v>
      </c>
      <c r="L138" s="3">
        <v>5898.3</v>
      </c>
      <c r="M138" s="2">
        <v>1326.7</v>
      </c>
      <c r="N138" s="2" t="s">
        <v>28</v>
      </c>
    </row>
    <row r="139" spans="1:14">
      <c r="A139" s="2" t="s">
        <v>365</v>
      </c>
      <c r="B139" s="5" t="s">
        <v>366</v>
      </c>
      <c r="C139" s="2" t="s">
        <v>212</v>
      </c>
      <c r="D139" s="2" t="s">
        <v>39</v>
      </c>
      <c r="E139" s="2" t="s">
        <v>18</v>
      </c>
      <c r="F139" s="2" t="s">
        <v>67</v>
      </c>
      <c r="G139" s="2" t="s">
        <v>41</v>
      </c>
      <c r="H139" s="2">
        <v>4</v>
      </c>
      <c r="I139" s="3">
        <v>1700</v>
      </c>
      <c r="J139" s="4">
        <v>0.15</v>
      </c>
      <c r="K139" s="3">
        <v>5780</v>
      </c>
      <c r="L139" s="3">
        <v>5087.62</v>
      </c>
      <c r="M139" s="2">
        <v>692.38</v>
      </c>
      <c r="N139" s="2" t="s">
        <v>28</v>
      </c>
    </row>
    <row r="140" spans="1:14">
      <c r="A140" s="2" t="s">
        <v>367</v>
      </c>
      <c r="B140" s="5" t="s">
        <v>368</v>
      </c>
      <c r="C140" s="2" t="s">
        <v>44</v>
      </c>
      <c r="D140" s="2" t="s">
        <v>54</v>
      </c>
      <c r="E140" s="2" t="s">
        <v>33</v>
      </c>
      <c r="F140" s="2" t="s">
        <v>19</v>
      </c>
      <c r="G140" s="2" t="s">
        <v>20</v>
      </c>
      <c r="H140" s="2">
        <v>2</v>
      </c>
      <c r="I140" s="3">
        <v>10300</v>
      </c>
      <c r="J140" s="4">
        <v>0.05</v>
      </c>
      <c r="K140" s="3">
        <v>19570</v>
      </c>
      <c r="L140" s="3">
        <v>17116.28</v>
      </c>
      <c r="M140" s="2">
        <v>2453.7199999999998</v>
      </c>
      <c r="N140" s="2" t="s">
        <v>21</v>
      </c>
    </row>
    <row r="141" spans="1:14">
      <c r="A141" s="2" t="s">
        <v>369</v>
      </c>
      <c r="B141" s="5" t="s">
        <v>370</v>
      </c>
      <c r="C141" s="2" t="s">
        <v>371</v>
      </c>
      <c r="D141" s="2" t="s">
        <v>39</v>
      </c>
      <c r="E141" s="2" t="s">
        <v>33</v>
      </c>
      <c r="F141" s="2" t="s">
        <v>94</v>
      </c>
      <c r="G141" s="2" t="s">
        <v>41</v>
      </c>
      <c r="H141" s="2">
        <v>4</v>
      </c>
      <c r="I141" s="3">
        <v>7100</v>
      </c>
      <c r="J141" s="4">
        <v>0.1</v>
      </c>
      <c r="K141" s="3">
        <v>25560</v>
      </c>
      <c r="L141" s="3">
        <v>20536.43</v>
      </c>
      <c r="M141" s="2">
        <v>5023.57</v>
      </c>
      <c r="N141" s="2" t="s">
        <v>50</v>
      </c>
    </row>
    <row r="142" spans="1:14">
      <c r="A142" s="2" t="s">
        <v>372</v>
      </c>
      <c r="B142" s="5" t="s">
        <v>373</v>
      </c>
      <c r="C142" s="2" t="s">
        <v>289</v>
      </c>
      <c r="D142" s="2" t="s">
        <v>58</v>
      </c>
      <c r="E142" s="2" t="s">
        <v>33</v>
      </c>
      <c r="F142" s="2" t="s">
        <v>81</v>
      </c>
      <c r="G142" s="2" t="s">
        <v>41</v>
      </c>
      <c r="H142" s="2">
        <v>5</v>
      </c>
      <c r="I142" s="3">
        <v>5500</v>
      </c>
      <c r="J142" s="4">
        <v>0.15</v>
      </c>
      <c r="K142" s="3">
        <v>23375</v>
      </c>
      <c r="L142" s="3">
        <v>21598.14</v>
      </c>
      <c r="M142" s="2">
        <v>1776.86</v>
      </c>
      <c r="N142" s="2" t="s">
        <v>28</v>
      </c>
    </row>
    <row r="143" spans="1:14">
      <c r="A143" s="2" t="s">
        <v>374</v>
      </c>
      <c r="B143" s="5" t="s">
        <v>375</v>
      </c>
      <c r="C143" s="2" t="s">
        <v>246</v>
      </c>
      <c r="D143" s="2" t="s">
        <v>54</v>
      </c>
      <c r="E143" s="2" t="s">
        <v>33</v>
      </c>
      <c r="F143" s="2" t="s">
        <v>27</v>
      </c>
      <c r="G143" s="2" t="s">
        <v>20</v>
      </c>
      <c r="H143" s="2">
        <v>2</v>
      </c>
      <c r="I143" s="3">
        <v>45300</v>
      </c>
      <c r="J143" s="4">
        <v>0.1</v>
      </c>
      <c r="K143" s="3">
        <v>81540</v>
      </c>
      <c r="L143" s="3">
        <v>78737.27</v>
      </c>
      <c r="M143" s="2">
        <v>2802.73</v>
      </c>
      <c r="N143" s="2" t="s">
        <v>50</v>
      </c>
    </row>
    <row r="144" spans="1:14">
      <c r="A144" s="2" t="s">
        <v>376</v>
      </c>
      <c r="B144" s="5" t="s">
        <v>377</v>
      </c>
      <c r="C144" s="2" t="s">
        <v>297</v>
      </c>
      <c r="D144" s="2" t="s">
        <v>25</v>
      </c>
      <c r="E144" s="2" t="s">
        <v>18</v>
      </c>
      <c r="F144" s="2" t="s">
        <v>27</v>
      </c>
      <c r="G144" s="2" t="s">
        <v>20</v>
      </c>
      <c r="H144" s="2">
        <v>4</v>
      </c>
      <c r="I144" s="3">
        <v>70400</v>
      </c>
      <c r="J144" s="4">
        <v>0.05</v>
      </c>
      <c r="K144" s="3">
        <v>267520</v>
      </c>
      <c r="L144" s="3">
        <v>198763.74</v>
      </c>
      <c r="M144" s="2">
        <v>68756.259999999995</v>
      </c>
      <c r="N144" s="2" t="s">
        <v>35</v>
      </c>
    </row>
    <row r="145" spans="1:14">
      <c r="A145" s="2" t="s">
        <v>378</v>
      </c>
      <c r="B145" s="5" t="s">
        <v>379</v>
      </c>
      <c r="C145" s="2" t="s">
        <v>236</v>
      </c>
      <c r="D145" s="2" t="s">
        <v>62</v>
      </c>
      <c r="E145" s="2" t="s">
        <v>33</v>
      </c>
      <c r="F145" s="2" t="s">
        <v>19</v>
      </c>
      <c r="G145" s="2" t="s">
        <v>20</v>
      </c>
      <c r="H145" s="2">
        <v>1</v>
      </c>
      <c r="I145" s="3">
        <v>19100</v>
      </c>
      <c r="J145" s="4">
        <v>0.15</v>
      </c>
      <c r="K145" s="3">
        <v>16235</v>
      </c>
      <c r="L145" s="3">
        <v>13059.59</v>
      </c>
      <c r="M145" s="2">
        <v>3175.41</v>
      </c>
      <c r="N145" s="2" t="s">
        <v>28</v>
      </c>
    </row>
    <row r="146" spans="1:14">
      <c r="A146" s="2" t="s">
        <v>380</v>
      </c>
      <c r="B146" s="5" t="s">
        <v>381</v>
      </c>
      <c r="C146" s="2" t="s">
        <v>300</v>
      </c>
      <c r="D146" s="2" t="s">
        <v>66</v>
      </c>
      <c r="E146" s="2" t="s">
        <v>18</v>
      </c>
      <c r="F146" s="2" t="s">
        <v>34</v>
      </c>
      <c r="G146" s="2" t="s">
        <v>20</v>
      </c>
      <c r="H146" s="2">
        <v>4</v>
      </c>
      <c r="I146" s="3">
        <v>48300</v>
      </c>
      <c r="J146" s="4">
        <v>0.1</v>
      </c>
      <c r="K146" s="3">
        <v>173880</v>
      </c>
      <c r="L146" s="3">
        <v>135826.29999999999</v>
      </c>
      <c r="M146" s="2">
        <v>38053.699999999997</v>
      </c>
      <c r="N146" s="2" t="s">
        <v>21</v>
      </c>
    </row>
    <row r="147" spans="1:14">
      <c r="A147" s="2" t="s">
        <v>382</v>
      </c>
      <c r="B147" s="5" t="s">
        <v>238</v>
      </c>
      <c r="C147" s="2" t="s">
        <v>121</v>
      </c>
      <c r="D147" s="2" t="s">
        <v>25</v>
      </c>
      <c r="E147" s="2" t="s">
        <v>26</v>
      </c>
      <c r="F147" s="2" t="s">
        <v>48</v>
      </c>
      <c r="G147" s="2" t="s">
        <v>49</v>
      </c>
      <c r="H147" s="2">
        <v>4</v>
      </c>
      <c r="I147" s="3">
        <v>9200</v>
      </c>
      <c r="J147" s="4">
        <v>0</v>
      </c>
      <c r="K147" s="3">
        <v>36800</v>
      </c>
      <c r="L147" s="3">
        <v>26814.81</v>
      </c>
      <c r="M147" s="2">
        <v>9985.19</v>
      </c>
      <c r="N147" s="2" t="s">
        <v>21</v>
      </c>
    </row>
    <row r="148" spans="1:14">
      <c r="A148" s="2" t="s">
        <v>383</v>
      </c>
      <c r="B148" s="5" t="s">
        <v>171</v>
      </c>
      <c r="C148" s="2" t="s">
        <v>99</v>
      </c>
      <c r="D148" s="2" t="s">
        <v>25</v>
      </c>
      <c r="E148" s="2" t="s">
        <v>18</v>
      </c>
      <c r="F148" s="2" t="s">
        <v>81</v>
      </c>
      <c r="G148" s="2" t="s">
        <v>41</v>
      </c>
      <c r="H148" s="2">
        <v>3</v>
      </c>
      <c r="I148" s="3">
        <v>5900</v>
      </c>
      <c r="J148" s="4">
        <v>0.05</v>
      </c>
      <c r="K148" s="3">
        <v>16815</v>
      </c>
      <c r="L148" s="3">
        <v>13215.06</v>
      </c>
      <c r="M148" s="2">
        <v>3599.94</v>
      </c>
      <c r="N148" s="2" t="s">
        <v>50</v>
      </c>
    </row>
    <row r="149" spans="1:14">
      <c r="A149" s="2" t="s">
        <v>384</v>
      </c>
      <c r="B149" s="5" t="s">
        <v>126</v>
      </c>
      <c r="C149" s="2" t="s">
        <v>174</v>
      </c>
      <c r="D149" s="2" t="s">
        <v>58</v>
      </c>
      <c r="E149" s="2" t="s">
        <v>26</v>
      </c>
      <c r="F149" s="2" t="s">
        <v>67</v>
      </c>
      <c r="G149" s="2" t="s">
        <v>41</v>
      </c>
      <c r="H149" s="2">
        <v>3</v>
      </c>
      <c r="I149" s="3">
        <v>2900</v>
      </c>
      <c r="J149" s="4">
        <v>0.1</v>
      </c>
      <c r="K149" s="3">
        <v>7830</v>
      </c>
      <c r="L149" s="3">
        <v>7181.64</v>
      </c>
      <c r="M149" s="2">
        <v>648.36</v>
      </c>
      <c r="N149" s="2" t="s">
        <v>68</v>
      </c>
    </row>
    <row r="150" spans="1:14">
      <c r="A150" s="2" t="s">
        <v>385</v>
      </c>
      <c r="B150" s="5" t="s">
        <v>386</v>
      </c>
      <c r="C150" s="2" t="s">
        <v>99</v>
      </c>
      <c r="D150" s="2" t="s">
        <v>66</v>
      </c>
      <c r="E150" s="2" t="s">
        <v>18</v>
      </c>
      <c r="F150" s="2" t="s">
        <v>81</v>
      </c>
      <c r="G150" s="2" t="s">
        <v>41</v>
      </c>
      <c r="H150" s="2">
        <v>2</v>
      </c>
      <c r="I150" s="3">
        <v>2400</v>
      </c>
      <c r="J150" s="4">
        <v>0.05</v>
      </c>
      <c r="K150" s="3">
        <v>4560</v>
      </c>
      <c r="L150" s="3">
        <v>3993.81</v>
      </c>
      <c r="M150" s="2">
        <v>566.19000000000005</v>
      </c>
      <c r="N150" s="2" t="s">
        <v>21</v>
      </c>
    </row>
    <row r="151" spans="1:14">
      <c r="A151" s="2" t="s">
        <v>387</v>
      </c>
      <c r="B151" s="5" t="s">
        <v>123</v>
      </c>
      <c r="C151" s="2" t="s">
        <v>346</v>
      </c>
      <c r="D151" s="2" t="s">
        <v>39</v>
      </c>
      <c r="E151" s="2" t="s">
        <v>18</v>
      </c>
      <c r="F151" s="2" t="s">
        <v>94</v>
      </c>
      <c r="G151" s="2" t="s">
        <v>41</v>
      </c>
      <c r="H151" s="2">
        <v>5</v>
      </c>
      <c r="I151" s="3">
        <v>8700</v>
      </c>
      <c r="J151" s="4">
        <v>0.15</v>
      </c>
      <c r="K151" s="3">
        <v>36975</v>
      </c>
      <c r="L151" s="3">
        <v>35505.86</v>
      </c>
      <c r="M151" s="2">
        <v>1469.14</v>
      </c>
      <c r="N151" s="2" t="s">
        <v>35</v>
      </c>
    </row>
    <row r="152" spans="1:14">
      <c r="A152" s="2" t="s">
        <v>388</v>
      </c>
      <c r="B152" s="5" t="s">
        <v>389</v>
      </c>
      <c r="C152" s="2" t="s">
        <v>155</v>
      </c>
      <c r="D152" s="2" t="s">
        <v>62</v>
      </c>
      <c r="E152" s="2" t="s">
        <v>26</v>
      </c>
      <c r="F152" s="2" t="s">
        <v>40</v>
      </c>
      <c r="G152" s="2" t="s">
        <v>41</v>
      </c>
      <c r="H152" s="2">
        <v>1</v>
      </c>
      <c r="I152" s="3">
        <v>3600</v>
      </c>
      <c r="J152" s="4">
        <v>0.15</v>
      </c>
      <c r="K152" s="3">
        <v>3060</v>
      </c>
      <c r="L152" s="3">
        <v>2766.39</v>
      </c>
      <c r="M152" s="2">
        <v>293.61</v>
      </c>
      <c r="N152" s="2" t="s">
        <v>35</v>
      </c>
    </row>
    <row r="153" spans="1:14">
      <c r="A153" s="2" t="s">
        <v>390</v>
      </c>
      <c r="B153" s="5" t="s">
        <v>391</v>
      </c>
      <c r="C153" s="2" t="s">
        <v>312</v>
      </c>
      <c r="D153" s="2" t="s">
        <v>17</v>
      </c>
      <c r="E153" s="2" t="s">
        <v>18</v>
      </c>
      <c r="F153" s="2" t="s">
        <v>19</v>
      </c>
      <c r="G153" s="2" t="s">
        <v>20</v>
      </c>
      <c r="H153" s="2">
        <v>4</v>
      </c>
      <c r="I153" s="3">
        <v>16900</v>
      </c>
      <c r="J153" s="4">
        <v>0.15</v>
      </c>
      <c r="K153" s="3">
        <v>57460</v>
      </c>
      <c r="L153" s="3">
        <v>46476.45</v>
      </c>
      <c r="M153" s="2">
        <v>10983.55</v>
      </c>
      <c r="N153" s="2" t="s">
        <v>50</v>
      </c>
    </row>
    <row r="154" spans="1:14">
      <c r="A154" s="2" t="s">
        <v>392</v>
      </c>
      <c r="B154" s="5" t="s">
        <v>393</v>
      </c>
      <c r="C154" s="2" t="s">
        <v>177</v>
      </c>
      <c r="D154" s="2" t="s">
        <v>39</v>
      </c>
      <c r="E154" s="2" t="s">
        <v>18</v>
      </c>
      <c r="F154" s="2" t="s">
        <v>34</v>
      </c>
      <c r="G154" s="2" t="s">
        <v>20</v>
      </c>
      <c r="H154" s="2">
        <v>5</v>
      </c>
      <c r="I154" s="3">
        <v>35600</v>
      </c>
      <c r="J154" s="4">
        <v>0</v>
      </c>
      <c r="K154" s="3">
        <v>178000</v>
      </c>
      <c r="L154" s="3">
        <v>137050.51999999999</v>
      </c>
      <c r="M154" s="2">
        <v>40949.480000000003</v>
      </c>
      <c r="N154" s="2" t="s">
        <v>21</v>
      </c>
    </row>
    <row r="155" spans="1:14">
      <c r="A155" s="2" t="s">
        <v>394</v>
      </c>
      <c r="B155" s="5" t="s">
        <v>395</v>
      </c>
      <c r="C155" s="2" t="s">
        <v>44</v>
      </c>
      <c r="D155" s="2" t="s">
        <v>25</v>
      </c>
      <c r="E155" s="2" t="s">
        <v>18</v>
      </c>
      <c r="F155" s="2" t="s">
        <v>40</v>
      </c>
      <c r="G155" s="2" t="s">
        <v>41</v>
      </c>
      <c r="H155" s="2">
        <v>4</v>
      </c>
      <c r="I155" s="3">
        <v>1100</v>
      </c>
      <c r="J155" s="4">
        <v>0</v>
      </c>
      <c r="K155" s="3">
        <v>4400</v>
      </c>
      <c r="L155" s="3">
        <v>3705.65</v>
      </c>
      <c r="M155" s="2">
        <v>694.35</v>
      </c>
      <c r="N155" s="2" t="s">
        <v>68</v>
      </c>
    </row>
    <row r="156" spans="1:14">
      <c r="A156" s="2" t="s">
        <v>396</v>
      </c>
      <c r="B156" s="5" t="s">
        <v>397</v>
      </c>
      <c r="C156" s="2" t="s">
        <v>31</v>
      </c>
      <c r="D156" s="2" t="s">
        <v>39</v>
      </c>
      <c r="E156" s="2" t="s">
        <v>33</v>
      </c>
      <c r="F156" s="2" t="s">
        <v>27</v>
      </c>
      <c r="G156" s="2" t="s">
        <v>20</v>
      </c>
      <c r="H156" s="2">
        <v>4</v>
      </c>
      <c r="I156" s="3">
        <v>57600</v>
      </c>
      <c r="J156" s="4">
        <v>0.15</v>
      </c>
      <c r="K156" s="3">
        <v>195840</v>
      </c>
      <c r="L156" s="3">
        <v>180821.08</v>
      </c>
      <c r="M156" s="2">
        <v>15018.92</v>
      </c>
      <c r="N156" s="2" t="s">
        <v>35</v>
      </c>
    </row>
    <row r="157" spans="1:14">
      <c r="A157" s="2" t="s">
        <v>398</v>
      </c>
      <c r="B157" s="5" t="s">
        <v>399</v>
      </c>
      <c r="C157" s="2" t="s">
        <v>234</v>
      </c>
      <c r="D157" s="2" t="s">
        <v>17</v>
      </c>
      <c r="E157" s="2" t="s">
        <v>33</v>
      </c>
      <c r="F157" s="2" t="s">
        <v>34</v>
      </c>
      <c r="G157" s="2" t="s">
        <v>20</v>
      </c>
      <c r="H157" s="2">
        <v>3</v>
      </c>
      <c r="I157" s="3">
        <v>32900</v>
      </c>
      <c r="J157" s="4">
        <v>0</v>
      </c>
      <c r="K157" s="3">
        <v>98700</v>
      </c>
      <c r="L157" s="3">
        <v>82695.34</v>
      </c>
      <c r="M157" s="2">
        <v>16004.66</v>
      </c>
      <c r="N157" s="2" t="s">
        <v>50</v>
      </c>
    </row>
    <row r="158" spans="1:14">
      <c r="A158" s="2" t="s">
        <v>400</v>
      </c>
      <c r="B158" s="5" t="s">
        <v>401</v>
      </c>
      <c r="C158" s="2" t="s">
        <v>174</v>
      </c>
      <c r="D158" s="2" t="s">
        <v>39</v>
      </c>
      <c r="E158" s="2" t="s">
        <v>33</v>
      </c>
      <c r="F158" s="2" t="s">
        <v>34</v>
      </c>
      <c r="G158" s="2" t="s">
        <v>20</v>
      </c>
      <c r="H158" s="2">
        <v>3</v>
      </c>
      <c r="I158" s="3">
        <v>26500</v>
      </c>
      <c r="J158" s="4">
        <v>0.05</v>
      </c>
      <c r="K158" s="3">
        <v>75525</v>
      </c>
      <c r="L158" s="3">
        <v>59360.46</v>
      </c>
      <c r="M158" s="2">
        <v>16164.54</v>
      </c>
      <c r="N158" s="2" t="s">
        <v>21</v>
      </c>
    </row>
    <row r="159" spans="1:14">
      <c r="A159" s="2" t="s">
        <v>402</v>
      </c>
      <c r="B159" s="5" t="s">
        <v>295</v>
      </c>
      <c r="C159" s="2" t="s">
        <v>140</v>
      </c>
      <c r="D159" s="2" t="s">
        <v>25</v>
      </c>
      <c r="E159" s="2" t="s">
        <v>26</v>
      </c>
      <c r="F159" s="2" t="s">
        <v>40</v>
      </c>
      <c r="G159" s="2" t="s">
        <v>41</v>
      </c>
      <c r="H159" s="2">
        <v>3</v>
      </c>
      <c r="I159" s="3">
        <v>1300</v>
      </c>
      <c r="J159" s="4">
        <v>0.15</v>
      </c>
      <c r="K159" s="3">
        <v>3315</v>
      </c>
      <c r="L159" s="3">
        <v>3153.92</v>
      </c>
      <c r="M159" s="2">
        <v>161.08000000000001</v>
      </c>
      <c r="N159" s="2" t="s">
        <v>21</v>
      </c>
    </row>
    <row r="160" spans="1:14">
      <c r="A160" s="2" t="s">
        <v>403</v>
      </c>
      <c r="B160" s="5" t="s">
        <v>129</v>
      </c>
      <c r="C160" s="2" t="s">
        <v>226</v>
      </c>
      <c r="D160" s="2" t="s">
        <v>108</v>
      </c>
      <c r="E160" s="2" t="s">
        <v>26</v>
      </c>
      <c r="F160" s="2" t="s">
        <v>48</v>
      </c>
      <c r="G160" s="2" t="s">
        <v>49</v>
      </c>
      <c r="H160" s="2">
        <v>3</v>
      </c>
      <c r="I160" s="3">
        <v>7400</v>
      </c>
      <c r="J160" s="4">
        <v>0.1</v>
      </c>
      <c r="K160" s="3">
        <v>19980</v>
      </c>
      <c r="L160" s="3">
        <v>15896.37</v>
      </c>
      <c r="M160" s="2">
        <v>4083.63</v>
      </c>
      <c r="N160" s="2" t="s">
        <v>68</v>
      </c>
    </row>
    <row r="161" spans="1:14">
      <c r="A161" s="2" t="s">
        <v>404</v>
      </c>
      <c r="B161" s="5" t="s">
        <v>405</v>
      </c>
      <c r="C161" s="2" t="s">
        <v>130</v>
      </c>
      <c r="D161" s="2" t="s">
        <v>25</v>
      </c>
      <c r="E161" s="2" t="s">
        <v>18</v>
      </c>
      <c r="F161" s="2" t="s">
        <v>40</v>
      </c>
      <c r="G161" s="2" t="s">
        <v>41</v>
      </c>
      <c r="H161" s="2">
        <v>1</v>
      </c>
      <c r="I161" s="3">
        <v>1700</v>
      </c>
      <c r="J161" s="4">
        <v>0.1</v>
      </c>
      <c r="K161" s="3">
        <v>1530</v>
      </c>
      <c r="L161" s="3">
        <v>1443.11</v>
      </c>
      <c r="M161" s="2">
        <v>86.89</v>
      </c>
      <c r="N161" s="2" t="s">
        <v>28</v>
      </c>
    </row>
    <row r="162" spans="1:14">
      <c r="A162" s="2" t="s">
        <v>406</v>
      </c>
      <c r="B162" s="5" t="s">
        <v>190</v>
      </c>
      <c r="C162" s="2" t="s">
        <v>31</v>
      </c>
      <c r="D162" s="2" t="s">
        <v>66</v>
      </c>
      <c r="E162" s="2" t="s">
        <v>18</v>
      </c>
      <c r="F162" s="2" t="s">
        <v>27</v>
      </c>
      <c r="G162" s="2" t="s">
        <v>20</v>
      </c>
      <c r="H162" s="2">
        <v>3</v>
      </c>
      <c r="I162" s="3">
        <v>78800</v>
      </c>
      <c r="J162" s="4">
        <v>0.05</v>
      </c>
      <c r="K162" s="3">
        <v>224580</v>
      </c>
      <c r="L162" s="3">
        <v>188989.81</v>
      </c>
      <c r="M162" s="2">
        <v>35590.19</v>
      </c>
      <c r="N162" s="2" t="s">
        <v>28</v>
      </c>
    </row>
    <row r="163" spans="1:14">
      <c r="A163" s="2" t="s">
        <v>407</v>
      </c>
      <c r="B163" s="5" t="s">
        <v>110</v>
      </c>
      <c r="C163" s="2" t="s">
        <v>275</v>
      </c>
      <c r="D163" s="2" t="s">
        <v>62</v>
      </c>
      <c r="E163" s="2" t="s">
        <v>33</v>
      </c>
      <c r="F163" s="2" t="s">
        <v>40</v>
      </c>
      <c r="G163" s="2" t="s">
        <v>41</v>
      </c>
      <c r="H163" s="2">
        <v>1</v>
      </c>
      <c r="I163" s="3">
        <v>3600</v>
      </c>
      <c r="J163" s="4">
        <v>0.15</v>
      </c>
      <c r="K163" s="3">
        <v>3060</v>
      </c>
      <c r="L163" s="3">
        <v>2710.3</v>
      </c>
      <c r="M163" s="2">
        <v>349.7</v>
      </c>
      <c r="N163" s="2" t="s">
        <v>21</v>
      </c>
    </row>
    <row r="164" spans="1:14">
      <c r="A164" s="2" t="s">
        <v>408</v>
      </c>
      <c r="B164" s="5" t="s">
        <v>203</v>
      </c>
      <c r="C164" s="2" t="s">
        <v>177</v>
      </c>
      <c r="D164" s="2" t="s">
        <v>39</v>
      </c>
      <c r="E164" s="2" t="s">
        <v>18</v>
      </c>
      <c r="F164" s="2" t="s">
        <v>67</v>
      </c>
      <c r="G164" s="2" t="s">
        <v>41</v>
      </c>
      <c r="H164" s="2">
        <v>2</v>
      </c>
      <c r="I164" s="3">
        <v>2200</v>
      </c>
      <c r="J164" s="4">
        <v>0.1</v>
      </c>
      <c r="K164" s="3">
        <v>3960</v>
      </c>
      <c r="L164" s="3">
        <v>3841.73</v>
      </c>
      <c r="M164" s="2">
        <v>118.27</v>
      </c>
      <c r="N164" s="2" t="s">
        <v>28</v>
      </c>
    </row>
    <row r="165" spans="1:14">
      <c r="A165" s="2" t="s">
        <v>409</v>
      </c>
      <c r="B165" s="5" t="s">
        <v>410</v>
      </c>
      <c r="C165" s="2" t="s">
        <v>31</v>
      </c>
      <c r="D165" s="2" t="s">
        <v>58</v>
      </c>
      <c r="E165" s="2" t="s">
        <v>18</v>
      </c>
      <c r="F165" s="2" t="s">
        <v>94</v>
      </c>
      <c r="G165" s="2" t="s">
        <v>41</v>
      </c>
      <c r="H165" s="2">
        <v>3</v>
      </c>
      <c r="I165" s="3">
        <v>7400</v>
      </c>
      <c r="J165" s="4">
        <v>0.15</v>
      </c>
      <c r="K165" s="3">
        <v>18870</v>
      </c>
      <c r="L165" s="3">
        <v>17328.91</v>
      </c>
      <c r="M165" s="2">
        <v>1541.09</v>
      </c>
      <c r="N165" s="2" t="s">
        <v>68</v>
      </c>
    </row>
    <row r="166" spans="1:14">
      <c r="A166" s="2" t="s">
        <v>411</v>
      </c>
      <c r="B166" s="5" t="s">
        <v>15</v>
      </c>
      <c r="C166" s="2" t="s">
        <v>124</v>
      </c>
      <c r="D166" s="2" t="s">
        <v>17</v>
      </c>
      <c r="E166" s="2" t="s">
        <v>33</v>
      </c>
      <c r="F166" s="2" t="s">
        <v>81</v>
      </c>
      <c r="G166" s="2" t="s">
        <v>41</v>
      </c>
      <c r="H166" s="2">
        <v>4</v>
      </c>
      <c r="I166" s="3">
        <v>1500</v>
      </c>
      <c r="J166" s="4">
        <v>0.1</v>
      </c>
      <c r="K166" s="3">
        <v>5400</v>
      </c>
      <c r="L166" s="3">
        <v>4745.45</v>
      </c>
      <c r="M166" s="2">
        <v>654.54999999999995</v>
      </c>
      <c r="N166" s="2" t="s">
        <v>50</v>
      </c>
    </row>
    <row r="167" spans="1:14">
      <c r="A167" s="2" t="s">
        <v>412</v>
      </c>
      <c r="B167" s="5" t="s">
        <v>413</v>
      </c>
      <c r="C167" s="2" t="s">
        <v>322</v>
      </c>
      <c r="D167" s="2" t="s">
        <v>108</v>
      </c>
      <c r="E167" s="2" t="s">
        <v>33</v>
      </c>
      <c r="F167" s="2" t="s">
        <v>40</v>
      </c>
      <c r="G167" s="2" t="s">
        <v>41</v>
      </c>
      <c r="H167" s="2">
        <v>4</v>
      </c>
      <c r="I167" s="3">
        <v>2500</v>
      </c>
      <c r="J167" s="4">
        <v>0.05</v>
      </c>
      <c r="K167" s="3">
        <v>9500</v>
      </c>
      <c r="L167" s="3">
        <v>8462.09</v>
      </c>
      <c r="M167" s="2">
        <v>1037.9100000000001</v>
      </c>
      <c r="N167" s="2" t="s">
        <v>50</v>
      </c>
    </row>
    <row r="168" spans="1:14">
      <c r="A168" s="2" t="s">
        <v>414</v>
      </c>
      <c r="B168" s="5" t="s">
        <v>415</v>
      </c>
      <c r="C168" s="2" t="s">
        <v>217</v>
      </c>
      <c r="D168" s="2" t="s">
        <v>58</v>
      </c>
      <c r="E168" s="2" t="s">
        <v>26</v>
      </c>
      <c r="F168" s="2" t="s">
        <v>34</v>
      </c>
      <c r="G168" s="2" t="s">
        <v>20</v>
      </c>
      <c r="H168" s="2">
        <v>4</v>
      </c>
      <c r="I168" s="3">
        <v>14700</v>
      </c>
      <c r="J168" s="4">
        <v>0.1</v>
      </c>
      <c r="K168" s="3">
        <v>52920</v>
      </c>
      <c r="L168" s="3">
        <v>42756.75</v>
      </c>
      <c r="M168" s="2">
        <v>10163.25</v>
      </c>
      <c r="N168" s="2" t="s">
        <v>35</v>
      </c>
    </row>
    <row r="169" spans="1:14">
      <c r="A169" s="2" t="s">
        <v>416</v>
      </c>
      <c r="B169" s="5" t="s">
        <v>188</v>
      </c>
      <c r="C169" s="2" t="s">
        <v>351</v>
      </c>
      <c r="D169" s="2" t="s">
        <v>66</v>
      </c>
      <c r="E169" s="2" t="s">
        <v>18</v>
      </c>
      <c r="F169" s="2" t="s">
        <v>19</v>
      </c>
      <c r="G169" s="2" t="s">
        <v>20</v>
      </c>
      <c r="H169" s="2">
        <v>3</v>
      </c>
      <c r="I169" s="3">
        <v>27200</v>
      </c>
      <c r="J169" s="4">
        <v>0.05</v>
      </c>
      <c r="K169" s="3">
        <v>77520</v>
      </c>
      <c r="L169" s="3">
        <v>57733.63</v>
      </c>
      <c r="M169" s="2">
        <v>19786.37</v>
      </c>
      <c r="N169" s="2" t="s">
        <v>21</v>
      </c>
    </row>
    <row r="170" spans="1:14">
      <c r="A170" s="2" t="s">
        <v>417</v>
      </c>
      <c r="B170" s="5" t="s">
        <v>418</v>
      </c>
      <c r="C170" s="2" t="s">
        <v>419</v>
      </c>
      <c r="D170" s="2" t="s">
        <v>62</v>
      </c>
      <c r="E170" s="2" t="s">
        <v>18</v>
      </c>
      <c r="F170" s="2" t="s">
        <v>94</v>
      </c>
      <c r="G170" s="2" t="s">
        <v>41</v>
      </c>
      <c r="H170" s="2">
        <v>1</v>
      </c>
      <c r="I170" s="3">
        <v>1500</v>
      </c>
      <c r="J170" s="4">
        <v>0</v>
      </c>
      <c r="K170" s="3">
        <v>1500</v>
      </c>
      <c r="L170" s="3">
        <v>1096.78</v>
      </c>
      <c r="M170" s="2">
        <v>403.22</v>
      </c>
      <c r="N170" s="2" t="s">
        <v>21</v>
      </c>
    </row>
    <row r="171" spans="1:14">
      <c r="A171" s="2" t="s">
        <v>420</v>
      </c>
      <c r="B171" s="5" t="s">
        <v>421</v>
      </c>
      <c r="C171" s="2" t="s">
        <v>147</v>
      </c>
      <c r="D171" s="2" t="s">
        <v>32</v>
      </c>
      <c r="E171" s="2" t="s">
        <v>18</v>
      </c>
      <c r="F171" s="2" t="s">
        <v>19</v>
      </c>
      <c r="G171" s="2" t="s">
        <v>20</v>
      </c>
      <c r="H171" s="2">
        <v>3</v>
      </c>
      <c r="I171" s="3">
        <v>28800</v>
      </c>
      <c r="J171" s="4">
        <v>0.05</v>
      </c>
      <c r="K171" s="3">
        <v>82080</v>
      </c>
      <c r="L171" s="3">
        <v>63955.89</v>
      </c>
      <c r="M171" s="2">
        <v>18124.11</v>
      </c>
      <c r="N171" s="2" t="s">
        <v>28</v>
      </c>
    </row>
    <row r="172" spans="1:14">
      <c r="A172" s="2" t="s">
        <v>422</v>
      </c>
      <c r="B172" s="5" t="s">
        <v>423</v>
      </c>
      <c r="C172" s="2" t="s">
        <v>281</v>
      </c>
      <c r="D172" s="2" t="s">
        <v>62</v>
      </c>
      <c r="E172" s="2" t="s">
        <v>26</v>
      </c>
      <c r="F172" s="2" t="s">
        <v>94</v>
      </c>
      <c r="G172" s="2" t="s">
        <v>41</v>
      </c>
      <c r="H172" s="2">
        <v>1</v>
      </c>
      <c r="I172" s="3">
        <v>2300</v>
      </c>
      <c r="J172" s="4">
        <v>0.15</v>
      </c>
      <c r="K172" s="3">
        <v>1955</v>
      </c>
      <c r="L172" s="3">
        <v>1838.5</v>
      </c>
      <c r="M172" s="2">
        <v>116.5</v>
      </c>
      <c r="N172" s="2" t="s">
        <v>68</v>
      </c>
    </row>
    <row r="173" spans="1:14">
      <c r="A173" s="2" t="s">
        <v>424</v>
      </c>
      <c r="B173" s="5" t="s">
        <v>425</v>
      </c>
      <c r="C173" s="2" t="s">
        <v>302</v>
      </c>
      <c r="D173" s="2" t="s">
        <v>17</v>
      </c>
      <c r="E173" s="2" t="s">
        <v>18</v>
      </c>
      <c r="F173" s="2" t="s">
        <v>81</v>
      </c>
      <c r="G173" s="2" t="s">
        <v>41</v>
      </c>
      <c r="H173" s="2">
        <v>1</v>
      </c>
      <c r="I173" s="3">
        <v>3900</v>
      </c>
      <c r="J173" s="4">
        <v>0.1</v>
      </c>
      <c r="K173" s="3">
        <v>3510</v>
      </c>
      <c r="L173" s="3">
        <v>2839.64</v>
      </c>
      <c r="M173" s="2">
        <v>670.36</v>
      </c>
      <c r="N173" s="2" t="s">
        <v>35</v>
      </c>
    </row>
    <row r="174" spans="1:14">
      <c r="A174" s="2" t="s">
        <v>426</v>
      </c>
      <c r="B174" s="5" t="s">
        <v>203</v>
      </c>
      <c r="C174" s="2" t="s">
        <v>289</v>
      </c>
      <c r="D174" s="2" t="s">
        <v>32</v>
      </c>
      <c r="E174" s="2" t="s">
        <v>33</v>
      </c>
      <c r="F174" s="2" t="s">
        <v>19</v>
      </c>
      <c r="G174" s="2" t="s">
        <v>20</v>
      </c>
      <c r="H174" s="2">
        <v>5</v>
      </c>
      <c r="I174" s="3">
        <v>22400</v>
      </c>
      <c r="J174" s="4">
        <v>0</v>
      </c>
      <c r="K174" s="3">
        <v>112000</v>
      </c>
      <c r="L174" s="3">
        <v>84906.16</v>
      </c>
      <c r="M174" s="2">
        <v>27093.84</v>
      </c>
      <c r="N174" s="2" t="s">
        <v>35</v>
      </c>
    </row>
    <row r="175" spans="1:14">
      <c r="A175" s="2" t="s">
        <v>427</v>
      </c>
      <c r="B175" s="5" t="s">
        <v>428</v>
      </c>
      <c r="C175" s="2" t="s">
        <v>105</v>
      </c>
      <c r="D175" s="2" t="s">
        <v>62</v>
      </c>
      <c r="E175" s="2" t="s">
        <v>18</v>
      </c>
      <c r="F175" s="2" t="s">
        <v>27</v>
      </c>
      <c r="G175" s="2" t="s">
        <v>20</v>
      </c>
      <c r="H175" s="2">
        <v>1</v>
      </c>
      <c r="I175" s="3">
        <v>63200</v>
      </c>
      <c r="J175" s="4">
        <v>0.1</v>
      </c>
      <c r="K175" s="3">
        <v>56880</v>
      </c>
      <c r="L175" s="3">
        <v>46023.83</v>
      </c>
      <c r="M175" s="2">
        <v>10856.17</v>
      </c>
      <c r="N175" s="2" t="s">
        <v>35</v>
      </c>
    </row>
    <row r="176" spans="1:14">
      <c r="A176" s="2" t="s">
        <v>429</v>
      </c>
      <c r="B176" s="5" t="s">
        <v>430</v>
      </c>
      <c r="C176" s="2" t="s">
        <v>209</v>
      </c>
      <c r="D176" s="2" t="s">
        <v>108</v>
      </c>
      <c r="E176" s="2" t="s">
        <v>18</v>
      </c>
      <c r="F176" s="2" t="s">
        <v>40</v>
      </c>
      <c r="G176" s="2" t="s">
        <v>41</v>
      </c>
      <c r="H176" s="2">
        <v>3</v>
      </c>
      <c r="I176" s="3">
        <v>1000</v>
      </c>
      <c r="J176" s="4">
        <v>0.1</v>
      </c>
      <c r="K176" s="3">
        <v>2700</v>
      </c>
      <c r="L176" s="3">
        <v>2528.11</v>
      </c>
      <c r="M176" s="2">
        <v>171.89</v>
      </c>
      <c r="N176" s="2" t="s">
        <v>68</v>
      </c>
    </row>
    <row r="177" spans="1:14">
      <c r="A177" s="2" t="s">
        <v>431</v>
      </c>
      <c r="B177" s="5" t="s">
        <v>432</v>
      </c>
      <c r="C177" s="2" t="s">
        <v>206</v>
      </c>
      <c r="D177" s="2" t="s">
        <v>80</v>
      </c>
      <c r="E177" s="2" t="s">
        <v>33</v>
      </c>
      <c r="F177" s="2" t="s">
        <v>40</v>
      </c>
      <c r="G177" s="2" t="s">
        <v>41</v>
      </c>
      <c r="H177" s="2">
        <v>4</v>
      </c>
      <c r="I177" s="3">
        <v>1200</v>
      </c>
      <c r="J177" s="4">
        <v>0</v>
      </c>
      <c r="K177" s="3">
        <v>4800</v>
      </c>
      <c r="L177" s="3">
        <v>3545.7</v>
      </c>
      <c r="M177" s="2">
        <v>1254.3</v>
      </c>
      <c r="N177" s="2" t="s">
        <v>35</v>
      </c>
    </row>
    <row r="178" spans="1:14">
      <c r="A178" s="2" t="s">
        <v>433</v>
      </c>
      <c r="B178" s="5" t="s">
        <v>399</v>
      </c>
      <c r="C178" s="2" t="s">
        <v>177</v>
      </c>
      <c r="D178" s="2" t="s">
        <v>54</v>
      </c>
      <c r="E178" s="2" t="s">
        <v>33</v>
      </c>
      <c r="F178" s="2" t="s">
        <v>34</v>
      </c>
      <c r="G178" s="2" t="s">
        <v>20</v>
      </c>
      <c r="H178" s="2">
        <v>5</v>
      </c>
      <c r="I178" s="3">
        <v>53700</v>
      </c>
      <c r="J178" s="4">
        <v>0.15</v>
      </c>
      <c r="K178" s="3">
        <v>228225</v>
      </c>
      <c r="L178" s="3">
        <v>196182.95</v>
      </c>
      <c r="M178" s="2">
        <v>32042.05</v>
      </c>
      <c r="N178" s="2" t="s">
        <v>50</v>
      </c>
    </row>
    <row r="179" spans="1:14">
      <c r="A179" s="2" t="s">
        <v>434</v>
      </c>
      <c r="B179" s="5" t="s">
        <v>435</v>
      </c>
      <c r="C179" s="2" t="s">
        <v>275</v>
      </c>
      <c r="D179" s="2" t="s">
        <v>32</v>
      </c>
      <c r="E179" s="2" t="s">
        <v>33</v>
      </c>
      <c r="F179" s="2" t="s">
        <v>48</v>
      </c>
      <c r="G179" s="2" t="s">
        <v>49</v>
      </c>
      <c r="H179" s="2">
        <v>1</v>
      </c>
      <c r="I179" s="3">
        <v>13900</v>
      </c>
      <c r="J179" s="4">
        <v>0.1</v>
      </c>
      <c r="K179" s="3">
        <v>12510</v>
      </c>
      <c r="L179" s="3">
        <v>10666.72</v>
      </c>
      <c r="M179" s="2">
        <v>1843.28</v>
      </c>
      <c r="N179" s="2" t="s">
        <v>68</v>
      </c>
    </row>
    <row r="180" spans="1:14">
      <c r="A180" s="2" t="s">
        <v>436</v>
      </c>
      <c r="B180" s="5" t="s">
        <v>437</v>
      </c>
      <c r="C180" s="2" t="s">
        <v>44</v>
      </c>
      <c r="D180" s="2" t="s">
        <v>32</v>
      </c>
      <c r="E180" s="2" t="s">
        <v>18</v>
      </c>
      <c r="F180" s="2" t="s">
        <v>94</v>
      </c>
      <c r="G180" s="2" t="s">
        <v>41</v>
      </c>
      <c r="H180" s="2">
        <v>3</v>
      </c>
      <c r="I180" s="3">
        <v>7800</v>
      </c>
      <c r="J180" s="4">
        <v>0.1</v>
      </c>
      <c r="K180" s="3">
        <v>21060</v>
      </c>
      <c r="L180" s="3">
        <v>19661.37</v>
      </c>
      <c r="M180" s="2">
        <v>1398.63</v>
      </c>
      <c r="N180" s="2" t="s">
        <v>68</v>
      </c>
    </row>
    <row r="181" spans="1:14">
      <c r="A181" s="2" t="s">
        <v>438</v>
      </c>
      <c r="B181" s="5" t="s">
        <v>439</v>
      </c>
      <c r="C181" s="2" t="s">
        <v>212</v>
      </c>
      <c r="D181" s="2" t="s">
        <v>108</v>
      </c>
      <c r="E181" s="2" t="s">
        <v>18</v>
      </c>
      <c r="F181" s="2" t="s">
        <v>81</v>
      </c>
      <c r="G181" s="2" t="s">
        <v>41</v>
      </c>
      <c r="H181" s="2">
        <v>1</v>
      </c>
      <c r="I181" s="3">
        <v>3200</v>
      </c>
      <c r="J181" s="4">
        <v>0</v>
      </c>
      <c r="K181" s="3">
        <v>3200</v>
      </c>
      <c r="L181" s="3">
        <v>2385.87</v>
      </c>
      <c r="M181" s="2">
        <v>814.13</v>
      </c>
      <c r="N181" s="2" t="s">
        <v>21</v>
      </c>
    </row>
    <row r="182" spans="1:14">
      <c r="A182" s="2" t="s">
        <v>440</v>
      </c>
      <c r="B182" s="5" t="s">
        <v>441</v>
      </c>
      <c r="C182" s="2" t="s">
        <v>223</v>
      </c>
      <c r="D182" s="2" t="s">
        <v>32</v>
      </c>
      <c r="E182" s="2" t="s">
        <v>33</v>
      </c>
      <c r="F182" s="2" t="s">
        <v>40</v>
      </c>
      <c r="G182" s="2" t="s">
        <v>41</v>
      </c>
      <c r="H182" s="2">
        <v>3</v>
      </c>
      <c r="I182" s="3">
        <v>3600</v>
      </c>
      <c r="J182" s="4">
        <v>0.15</v>
      </c>
      <c r="K182" s="3">
        <v>9180</v>
      </c>
      <c r="L182" s="3">
        <v>7435.49</v>
      </c>
      <c r="M182" s="2">
        <v>1744.51</v>
      </c>
      <c r="N182" s="2" t="s">
        <v>50</v>
      </c>
    </row>
    <row r="183" spans="1:14">
      <c r="A183" s="2" t="s">
        <v>442</v>
      </c>
      <c r="B183" s="5" t="s">
        <v>443</v>
      </c>
      <c r="C183" s="2" t="s">
        <v>31</v>
      </c>
      <c r="D183" s="2" t="s">
        <v>80</v>
      </c>
      <c r="E183" s="2" t="s">
        <v>26</v>
      </c>
      <c r="F183" s="2" t="s">
        <v>19</v>
      </c>
      <c r="G183" s="2" t="s">
        <v>20</v>
      </c>
      <c r="H183" s="2">
        <v>4</v>
      </c>
      <c r="I183" s="3">
        <v>26100</v>
      </c>
      <c r="J183" s="4">
        <v>0.1</v>
      </c>
      <c r="K183" s="3">
        <v>93960</v>
      </c>
      <c r="L183" s="3">
        <v>81705.240000000005</v>
      </c>
      <c r="M183" s="2">
        <v>12254.76</v>
      </c>
      <c r="N183" s="2" t="s">
        <v>28</v>
      </c>
    </row>
    <row r="184" spans="1:14">
      <c r="A184" s="2" t="s">
        <v>444</v>
      </c>
      <c r="B184" s="5" t="s">
        <v>126</v>
      </c>
      <c r="C184" s="2" t="s">
        <v>445</v>
      </c>
      <c r="D184" s="2" t="s">
        <v>39</v>
      </c>
      <c r="E184" s="2" t="s">
        <v>33</v>
      </c>
      <c r="F184" s="2" t="s">
        <v>94</v>
      </c>
      <c r="G184" s="2" t="s">
        <v>41</v>
      </c>
      <c r="H184" s="2">
        <v>2</v>
      </c>
      <c r="I184" s="3">
        <v>1900</v>
      </c>
      <c r="J184" s="4">
        <v>0</v>
      </c>
      <c r="K184" s="3">
        <v>3800</v>
      </c>
      <c r="L184" s="3">
        <v>2763.36</v>
      </c>
      <c r="M184" s="2">
        <v>1036.6400000000001</v>
      </c>
      <c r="N184" s="2" t="s">
        <v>28</v>
      </c>
    </row>
    <row r="185" spans="1:14">
      <c r="A185" s="2" t="s">
        <v>446</v>
      </c>
      <c r="B185" s="5" t="s">
        <v>447</v>
      </c>
      <c r="C185" s="2" t="s">
        <v>275</v>
      </c>
      <c r="D185" s="2" t="s">
        <v>17</v>
      </c>
      <c r="E185" s="2" t="s">
        <v>18</v>
      </c>
      <c r="F185" s="2" t="s">
        <v>27</v>
      </c>
      <c r="G185" s="2" t="s">
        <v>20</v>
      </c>
      <c r="H185" s="2">
        <v>2</v>
      </c>
      <c r="I185" s="3">
        <v>75900</v>
      </c>
      <c r="J185" s="4">
        <v>0.15</v>
      </c>
      <c r="K185" s="3">
        <v>129030</v>
      </c>
      <c r="L185" s="3">
        <v>132030.28</v>
      </c>
      <c r="M185" s="2">
        <v>-3000.28</v>
      </c>
      <c r="N185" s="2" t="s">
        <v>68</v>
      </c>
    </row>
    <row r="186" spans="1:14">
      <c r="A186" s="2" t="s">
        <v>448</v>
      </c>
      <c r="B186" s="5" t="s">
        <v>449</v>
      </c>
      <c r="C186" s="2" t="s">
        <v>24</v>
      </c>
      <c r="D186" s="2" t="s">
        <v>66</v>
      </c>
      <c r="E186" s="2" t="s">
        <v>33</v>
      </c>
      <c r="F186" s="2" t="s">
        <v>48</v>
      </c>
      <c r="G186" s="2" t="s">
        <v>49</v>
      </c>
      <c r="H186" s="2">
        <v>3</v>
      </c>
      <c r="I186" s="3">
        <v>17100</v>
      </c>
      <c r="J186" s="4">
        <v>0.1</v>
      </c>
      <c r="K186" s="3">
        <v>46170</v>
      </c>
      <c r="L186" s="3">
        <v>37445.019999999997</v>
      </c>
      <c r="M186" s="2">
        <v>8724.98</v>
      </c>
      <c r="N186" s="2" t="s">
        <v>28</v>
      </c>
    </row>
    <row r="187" spans="1:14">
      <c r="A187" s="2" t="s">
        <v>450</v>
      </c>
      <c r="B187" s="5" t="s">
        <v>451</v>
      </c>
      <c r="C187" s="2" t="s">
        <v>186</v>
      </c>
      <c r="D187" s="2" t="s">
        <v>58</v>
      </c>
      <c r="E187" s="2" t="s">
        <v>18</v>
      </c>
      <c r="F187" s="2" t="s">
        <v>34</v>
      </c>
      <c r="G187" s="2" t="s">
        <v>20</v>
      </c>
      <c r="H187" s="2">
        <v>1</v>
      </c>
      <c r="I187" s="3">
        <v>40700</v>
      </c>
      <c r="J187" s="4">
        <v>0.1</v>
      </c>
      <c r="K187" s="3">
        <v>36630</v>
      </c>
      <c r="L187" s="3">
        <v>33984.21</v>
      </c>
      <c r="M187" s="2">
        <v>2645.79</v>
      </c>
      <c r="N187" s="2" t="s">
        <v>35</v>
      </c>
    </row>
    <row r="188" spans="1:14">
      <c r="A188" s="2" t="s">
        <v>452</v>
      </c>
      <c r="B188" s="5" t="s">
        <v>96</v>
      </c>
      <c r="C188" s="2" t="s">
        <v>180</v>
      </c>
      <c r="D188" s="2" t="s">
        <v>108</v>
      </c>
      <c r="E188" s="2" t="s">
        <v>26</v>
      </c>
      <c r="F188" s="2" t="s">
        <v>94</v>
      </c>
      <c r="G188" s="2" t="s">
        <v>41</v>
      </c>
      <c r="H188" s="2">
        <v>1</v>
      </c>
      <c r="I188" s="3">
        <v>4000</v>
      </c>
      <c r="J188" s="4">
        <v>0.05</v>
      </c>
      <c r="K188" s="3">
        <v>3800</v>
      </c>
      <c r="L188" s="3">
        <v>3402.26</v>
      </c>
      <c r="M188" s="2">
        <v>397.74</v>
      </c>
      <c r="N188" s="2" t="s">
        <v>35</v>
      </c>
    </row>
    <row r="189" spans="1:14">
      <c r="A189" s="2" t="s">
        <v>453</v>
      </c>
      <c r="B189" s="5" t="s">
        <v>79</v>
      </c>
      <c r="C189" s="2" t="s">
        <v>180</v>
      </c>
      <c r="D189" s="2" t="s">
        <v>39</v>
      </c>
      <c r="E189" s="2" t="s">
        <v>18</v>
      </c>
      <c r="F189" s="2" t="s">
        <v>48</v>
      </c>
      <c r="G189" s="2" t="s">
        <v>49</v>
      </c>
      <c r="H189" s="2">
        <v>1</v>
      </c>
      <c r="I189" s="3">
        <v>25100</v>
      </c>
      <c r="J189" s="4">
        <v>0.1</v>
      </c>
      <c r="K189" s="3">
        <v>22590</v>
      </c>
      <c r="L189" s="3">
        <v>21542.49</v>
      </c>
      <c r="M189" s="2">
        <v>1047.51</v>
      </c>
      <c r="N189" s="2" t="s">
        <v>68</v>
      </c>
    </row>
    <row r="190" spans="1:14">
      <c r="A190" s="2" t="s">
        <v>454</v>
      </c>
      <c r="B190" s="5" t="s">
        <v>211</v>
      </c>
      <c r="C190" s="2" t="s">
        <v>445</v>
      </c>
      <c r="D190" s="2" t="s">
        <v>25</v>
      </c>
      <c r="E190" s="2" t="s">
        <v>18</v>
      </c>
      <c r="F190" s="2" t="s">
        <v>19</v>
      </c>
      <c r="G190" s="2" t="s">
        <v>20</v>
      </c>
      <c r="H190" s="2">
        <v>2</v>
      </c>
      <c r="I190" s="3">
        <v>14100</v>
      </c>
      <c r="J190" s="4">
        <v>0.05</v>
      </c>
      <c r="K190" s="3">
        <v>26790</v>
      </c>
      <c r="L190" s="3">
        <v>23633.7</v>
      </c>
      <c r="M190" s="2">
        <v>3156.3</v>
      </c>
      <c r="N190" s="2" t="s">
        <v>35</v>
      </c>
    </row>
    <row r="191" spans="1:14">
      <c r="A191" s="2" t="s">
        <v>455</v>
      </c>
      <c r="B191" s="5" t="s">
        <v>456</v>
      </c>
      <c r="C191" s="2" t="s">
        <v>457</v>
      </c>
      <c r="D191" s="2" t="s">
        <v>25</v>
      </c>
      <c r="E191" s="2" t="s">
        <v>33</v>
      </c>
      <c r="F191" s="2" t="s">
        <v>94</v>
      </c>
      <c r="G191" s="2" t="s">
        <v>41</v>
      </c>
      <c r="H191" s="2">
        <v>2</v>
      </c>
      <c r="I191" s="3">
        <v>8500</v>
      </c>
      <c r="J191" s="4">
        <v>0</v>
      </c>
      <c r="K191" s="3">
        <v>17000</v>
      </c>
      <c r="L191" s="3">
        <v>11783.54</v>
      </c>
      <c r="M191" s="2">
        <v>5216.46</v>
      </c>
      <c r="N191" s="2" t="s">
        <v>21</v>
      </c>
    </row>
    <row r="192" spans="1:14">
      <c r="A192" s="2" t="s">
        <v>458</v>
      </c>
      <c r="B192" s="5" t="s">
        <v>459</v>
      </c>
      <c r="C192" s="2" t="s">
        <v>124</v>
      </c>
      <c r="D192" s="2" t="s">
        <v>39</v>
      </c>
      <c r="E192" s="2" t="s">
        <v>26</v>
      </c>
      <c r="F192" s="2" t="s">
        <v>19</v>
      </c>
      <c r="G192" s="2" t="s">
        <v>20</v>
      </c>
      <c r="H192" s="2">
        <v>3</v>
      </c>
      <c r="I192" s="3">
        <v>12200</v>
      </c>
      <c r="J192" s="4">
        <v>0</v>
      </c>
      <c r="K192" s="3">
        <v>36600</v>
      </c>
      <c r="L192" s="3">
        <v>28181.81</v>
      </c>
      <c r="M192" s="2">
        <v>8418.19</v>
      </c>
      <c r="N192" s="2" t="s">
        <v>28</v>
      </c>
    </row>
    <row r="193" spans="1:14">
      <c r="A193" s="2" t="s">
        <v>460</v>
      </c>
      <c r="B193" s="5" t="s">
        <v>461</v>
      </c>
      <c r="C193" s="2" t="s">
        <v>74</v>
      </c>
      <c r="D193" s="2" t="s">
        <v>54</v>
      </c>
      <c r="E193" s="2" t="s">
        <v>26</v>
      </c>
      <c r="F193" s="2" t="s">
        <v>40</v>
      </c>
      <c r="G193" s="2" t="s">
        <v>41</v>
      </c>
      <c r="H193" s="2">
        <v>4</v>
      </c>
      <c r="I193" s="3">
        <v>1600</v>
      </c>
      <c r="J193" s="4">
        <v>0</v>
      </c>
      <c r="K193" s="3">
        <v>6400</v>
      </c>
      <c r="L193" s="3">
        <v>5416.18</v>
      </c>
      <c r="M193" s="2">
        <v>983.82</v>
      </c>
      <c r="N193" s="2" t="s">
        <v>68</v>
      </c>
    </row>
    <row r="194" spans="1:14">
      <c r="A194" s="2" t="s">
        <v>462</v>
      </c>
      <c r="B194" s="5" t="s">
        <v>461</v>
      </c>
      <c r="C194" s="2" t="s">
        <v>312</v>
      </c>
      <c r="D194" s="2" t="s">
        <v>17</v>
      </c>
      <c r="E194" s="2" t="s">
        <v>33</v>
      </c>
      <c r="F194" s="2" t="s">
        <v>48</v>
      </c>
      <c r="G194" s="2" t="s">
        <v>49</v>
      </c>
      <c r="H194" s="2">
        <v>2</v>
      </c>
      <c r="I194" s="3">
        <v>25100</v>
      </c>
      <c r="J194" s="4">
        <v>0.1</v>
      </c>
      <c r="K194" s="3">
        <v>45180</v>
      </c>
      <c r="L194" s="3">
        <v>43648.73</v>
      </c>
      <c r="M194" s="2">
        <v>1531.27</v>
      </c>
      <c r="N194" s="2" t="s">
        <v>68</v>
      </c>
    </row>
    <row r="195" spans="1:14">
      <c r="A195" s="2" t="s">
        <v>463</v>
      </c>
      <c r="B195" s="5" t="s">
        <v>171</v>
      </c>
      <c r="C195" s="2" t="s">
        <v>464</v>
      </c>
      <c r="D195" s="2" t="s">
        <v>62</v>
      </c>
      <c r="E195" s="2" t="s">
        <v>26</v>
      </c>
      <c r="F195" s="2" t="s">
        <v>81</v>
      </c>
      <c r="G195" s="2" t="s">
        <v>41</v>
      </c>
      <c r="H195" s="2">
        <v>3</v>
      </c>
      <c r="I195" s="3">
        <v>2000</v>
      </c>
      <c r="J195" s="4">
        <v>0</v>
      </c>
      <c r="K195" s="3">
        <v>6000</v>
      </c>
      <c r="L195" s="3">
        <v>4683.09</v>
      </c>
      <c r="M195" s="2">
        <v>1316.91</v>
      </c>
      <c r="N195" s="2" t="s">
        <v>68</v>
      </c>
    </row>
    <row r="196" spans="1:14">
      <c r="A196" s="2" t="s">
        <v>465</v>
      </c>
      <c r="B196" s="5" t="s">
        <v>466</v>
      </c>
      <c r="C196" s="2" t="s">
        <v>467</v>
      </c>
      <c r="D196" s="2" t="s">
        <v>54</v>
      </c>
      <c r="E196" s="2" t="s">
        <v>18</v>
      </c>
      <c r="F196" s="2" t="s">
        <v>48</v>
      </c>
      <c r="G196" s="2" t="s">
        <v>49</v>
      </c>
      <c r="H196" s="2">
        <v>1</v>
      </c>
      <c r="I196" s="3">
        <v>21400</v>
      </c>
      <c r="J196" s="4">
        <v>0</v>
      </c>
      <c r="K196" s="3">
        <v>21400</v>
      </c>
      <c r="L196" s="3">
        <v>14899.63</v>
      </c>
      <c r="M196" s="2">
        <v>6500.37</v>
      </c>
      <c r="N196" s="2" t="s">
        <v>68</v>
      </c>
    </row>
    <row r="197" spans="1:14">
      <c r="A197" s="2" t="s">
        <v>468</v>
      </c>
      <c r="B197" s="5" t="s">
        <v>469</v>
      </c>
      <c r="C197" s="2" t="s">
        <v>47</v>
      </c>
      <c r="D197" s="2" t="s">
        <v>54</v>
      </c>
      <c r="E197" s="2" t="s">
        <v>33</v>
      </c>
      <c r="F197" s="2" t="s">
        <v>34</v>
      </c>
      <c r="G197" s="2" t="s">
        <v>20</v>
      </c>
      <c r="H197" s="2">
        <v>1</v>
      </c>
      <c r="I197" s="3">
        <v>43600</v>
      </c>
      <c r="J197" s="4">
        <v>0.15</v>
      </c>
      <c r="K197" s="3">
        <v>37060</v>
      </c>
      <c r="L197" s="3">
        <v>37400.050000000003</v>
      </c>
      <c r="M197" s="2">
        <v>-340.05</v>
      </c>
      <c r="N197" s="2" t="s">
        <v>68</v>
      </c>
    </row>
    <row r="198" spans="1:14">
      <c r="A198" s="2" t="s">
        <v>470</v>
      </c>
      <c r="B198" s="5" t="s">
        <v>79</v>
      </c>
      <c r="C198" s="2" t="s">
        <v>275</v>
      </c>
      <c r="D198" s="2" t="s">
        <v>32</v>
      </c>
      <c r="E198" s="2" t="s">
        <v>33</v>
      </c>
      <c r="F198" s="2" t="s">
        <v>34</v>
      </c>
      <c r="G198" s="2" t="s">
        <v>20</v>
      </c>
      <c r="H198" s="2">
        <v>4</v>
      </c>
      <c r="I198" s="3">
        <v>27200</v>
      </c>
      <c r="J198" s="4">
        <v>0</v>
      </c>
      <c r="K198" s="3">
        <v>108800</v>
      </c>
      <c r="L198" s="3">
        <v>88968.23</v>
      </c>
      <c r="M198" s="2">
        <v>19831.77</v>
      </c>
      <c r="N198" s="2" t="s">
        <v>21</v>
      </c>
    </row>
    <row r="199" spans="1:14">
      <c r="A199" s="2" t="s">
        <v>471</v>
      </c>
      <c r="B199" s="5" t="s">
        <v>472</v>
      </c>
      <c r="C199" s="2" t="s">
        <v>152</v>
      </c>
      <c r="D199" s="2" t="s">
        <v>32</v>
      </c>
      <c r="E199" s="2" t="s">
        <v>26</v>
      </c>
      <c r="F199" s="2" t="s">
        <v>67</v>
      </c>
      <c r="G199" s="2" t="s">
        <v>41</v>
      </c>
      <c r="H199" s="2">
        <v>5</v>
      </c>
      <c r="I199" s="3">
        <v>1500</v>
      </c>
      <c r="J199" s="4">
        <v>0.05</v>
      </c>
      <c r="K199" s="3">
        <v>7125</v>
      </c>
      <c r="L199" s="3">
        <v>5568.87</v>
      </c>
      <c r="M199" s="2">
        <v>1556.13</v>
      </c>
      <c r="N199" s="2" t="s">
        <v>35</v>
      </c>
    </row>
    <row r="200" spans="1:14">
      <c r="A200" s="2" t="s">
        <v>473</v>
      </c>
      <c r="B200" s="5" t="s">
        <v>474</v>
      </c>
      <c r="C200" s="2" t="s">
        <v>215</v>
      </c>
      <c r="D200" s="2" t="s">
        <v>66</v>
      </c>
      <c r="E200" s="2" t="s">
        <v>26</v>
      </c>
      <c r="F200" s="2" t="s">
        <v>19</v>
      </c>
      <c r="G200" s="2" t="s">
        <v>20</v>
      </c>
      <c r="H200" s="2">
        <v>2</v>
      </c>
      <c r="I200" s="3">
        <v>17100</v>
      </c>
      <c r="J200" s="4">
        <v>0.15</v>
      </c>
      <c r="K200" s="3">
        <v>29070</v>
      </c>
      <c r="L200" s="3">
        <v>24094.05</v>
      </c>
      <c r="M200" s="2">
        <v>4975.95</v>
      </c>
      <c r="N200" s="2" t="s">
        <v>50</v>
      </c>
    </row>
    <row r="201" spans="1:14">
      <c r="A201" s="2" t="s">
        <v>475</v>
      </c>
      <c r="B201" s="5" t="s">
        <v>476</v>
      </c>
      <c r="C201" s="2" t="s">
        <v>300</v>
      </c>
      <c r="D201" s="2" t="s">
        <v>62</v>
      </c>
      <c r="E201" s="2" t="s">
        <v>18</v>
      </c>
      <c r="F201" s="2" t="s">
        <v>81</v>
      </c>
      <c r="G201" s="2" t="s">
        <v>41</v>
      </c>
      <c r="H201" s="2">
        <v>5</v>
      </c>
      <c r="I201" s="3">
        <v>3600</v>
      </c>
      <c r="J201" s="4">
        <v>0.15</v>
      </c>
      <c r="K201" s="3">
        <v>15300</v>
      </c>
      <c r="L201" s="3">
        <v>13133.77</v>
      </c>
      <c r="M201" s="2">
        <v>2166.23</v>
      </c>
      <c r="N201" s="2" t="s">
        <v>35</v>
      </c>
    </row>
  </sheetData>
  <autoFilter ref="A1:N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AF1C-BF89-4034-BCD0-73ED881B2FC6}">
  <dimension ref="A1:F44"/>
  <sheetViews>
    <sheetView workbookViewId="0">
      <selection activeCell="B8" sqref="B8"/>
    </sheetView>
  </sheetViews>
  <sheetFormatPr defaultRowHeight="15"/>
  <cols>
    <col min="1" max="1" width="19.5703125" bestFit="1" customWidth="1"/>
    <col min="2" max="2" width="17.42578125" bestFit="1" customWidth="1"/>
    <col min="4" max="4" width="17" customWidth="1"/>
    <col min="5" max="5" width="16.42578125" customWidth="1"/>
  </cols>
  <sheetData>
    <row r="1" spans="1:5" ht="18.75">
      <c r="A1" s="13" t="s">
        <v>477</v>
      </c>
      <c r="B1" s="13" t="s">
        <v>478</v>
      </c>
    </row>
    <row r="2" spans="1:5" ht="15.75">
      <c r="A2" s="14" t="s">
        <v>479</v>
      </c>
      <c r="B2" s="15">
        <f>SUM(Raw_Data!K:K)</f>
        <v>11394020</v>
      </c>
      <c r="D2" s="9" t="s">
        <v>480</v>
      </c>
    </row>
    <row r="3" spans="1:5" ht="15.75">
      <c r="A3" s="14"/>
      <c r="B3" s="14"/>
    </row>
    <row r="4" spans="1:5" ht="15.75">
      <c r="A4" s="14" t="s">
        <v>481</v>
      </c>
      <c r="B4" s="15">
        <f>SUM(Raw_Data!L:L)</f>
        <v>9647061.2999999952</v>
      </c>
      <c r="D4" s="2" t="s">
        <v>482</v>
      </c>
      <c r="E4" s="2" t="s">
        <v>5</v>
      </c>
    </row>
    <row r="5" spans="1:5" ht="15.75">
      <c r="A5" s="14"/>
      <c r="B5" s="14"/>
      <c r="D5" t="s">
        <v>363</v>
      </c>
      <c r="E5" t="str">
        <f>_xlfn.XLOOKUP(D5,Raw_Data!A:A,Raw_Data!F:F,"Not found",0)</f>
        <v>Keyboard</v>
      </c>
    </row>
    <row r="6" spans="1:5" ht="15.75">
      <c r="A6" s="14" t="s">
        <v>483</v>
      </c>
      <c r="B6" s="15">
        <f>B2-B4</f>
        <v>1746958.7000000048</v>
      </c>
    </row>
    <row r="7" spans="1:5" ht="15.75">
      <c r="A7" s="14"/>
      <c r="B7" s="14"/>
    </row>
    <row r="8" spans="1:5" ht="15.75">
      <c r="A8" s="14" t="s">
        <v>484</v>
      </c>
      <c r="B8" s="16">
        <f>SUM(Raw_Data!H:H)</f>
        <v>592</v>
      </c>
      <c r="D8" t="s">
        <v>485</v>
      </c>
    </row>
    <row r="9" spans="1:5" ht="15.75">
      <c r="A9" s="14"/>
      <c r="B9" s="14"/>
    </row>
    <row r="10" spans="1:5" ht="15.75">
      <c r="A10" s="14" t="s">
        <v>486</v>
      </c>
      <c r="B10" s="14">
        <f>COUNTA(Raw_Data!A:A)</f>
        <v>201</v>
      </c>
      <c r="D10" s="2" t="s">
        <v>487</v>
      </c>
      <c r="E10" s="2" t="s">
        <v>488</v>
      </c>
    </row>
    <row r="11" spans="1:5" ht="15.75">
      <c r="A11" s="14"/>
      <c r="B11" s="15"/>
      <c r="D11" t="s">
        <v>149</v>
      </c>
      <c r="E11" t="str">
        <f>_xlfn.XLOOKUP(D11,Raw_Data!C:C,Raw_Data!E:E,"Not Found",0)</f>
        <v>Small Business</v>
      </c>
    </row>
    <row r="12" spans="1:5" ht="15.75">
      <c r="A12" s="14" t="s">
        <v>489</v>
      </c>
      <c r="B12" s="15">
        <f>AVERAGE(Raw_Data!K:K)</f>
        <v>56970.1</v>
      </c>
    </row>
    <row r="13" spans="1:5" ht="15.75">
      <c r="A13" s="14"/>
      <c r="B13" s="14"/>
    </row>
    <row r="14" spans="1:5" ht="15.75">
      <c r="A14" s="14" t="s">
        <v>490</v>
      </c>
      <c r="B14" s="17">
        <f>B6/B2</f>
        <v>0.1533224182509777</v>
      </c>
      <c r="D14" t="s">
        <v>491</v>
      </c>
    </row>
    <row r="16" spans="1:5">
      <c r="D16" s="2" t="s">
        <v>482</v>
      </c>
      <c r="E16" s="2" t="s">
        <v>492</v>
      </c>
    </row>
    <row r="17" spans="1:5" ht="60.75">
      <c r="A17" s="10" t="s">
        <v>493</v>
      </c>
      <c r="D17" t="s">
        <v>363</v>
      </c>
      <c r="E17">
        <f>VLOOKUP(D17,Raw_Data!A:N,MATCH(Raw_Data!K1,Raw_Data!A1:N1,0),0)</f>
        <v>7225</v>
      </c>
    </row>
    <row r="19" spans="1:5">
      <c r="A19" s="2" t="s">
        <v>3</v>
      </c>
      <c r="B19" s="2" t="s">
        <v>494</v>
      </c>
      <c r="D19" s="9" t="s">
        <v>495</v>
      </c>
    </row>
    <row r="20" spans="1:5" ht="15.75">
      <c r="A20" t="s">
        <v>39</v>
      </c>
      <c r="B20" s="15">
        <f>AVERAGEIF(Raw_Data!D:D,Raw_Data!D5,Raw_Data!M:M)</f>
        <v>11477.181304347829</v>
      </c>
    </row>
    <row r="21" spans="1:5" ht="15.75">
      <c r="A21" s="18" t="s">
        <v>58</v>
      </c>
      <c r="B21" s="15">
        <f>AVERAGEIF(Raw_Data!D:D,Raw_Data!D6,Raw_Data!M:M)</f>
        <v>11415.527619047618</v>
      </c>
      <c r="D21" s="2" t="s">
        <v>482</v>
      </c>
      <c r="E21" s="2" t="s">
        <v>496</v>
      </c>
    </row>
    <row r="22" spans="1:5" ht="15.75">
      <c r="A22" t="s">
        <v>25</v>
      </c>
      <c r="B22" s="15">
        <f>AVERAGEIF(Raw_Data!D:D,Raw_Data!D7,Raw_Data!M:M)</f>
        <v>6952.5867857142857</v>
      </c>
      <c r="D22" t="s">
        <v>187</v>
      </c>
      <c r="E22">
        <f>VLOOKUP(D22,Raw_Data!A:N,MATCH(Raw_Data!M1,Raw_Data!A1:N1,0),0)</f>
        <v>2085.79</v>
      </c>
    </row>
    <row r="25" spans="1:5" ht="45.75">
      <c r="A25" s="19" t="s">
        <v>497</v>
      </c>
      <c r="D25" t="s">
        <v>498</v>
      </c>
    </row>
    <row r="27" spans="1:5">
      <c r="A27" s="2" t="s">
        <v>499</v>
      </c>
      <c r="B27" s="2" t="s">
        <v>500</v>
      </c>
      <c r="D27" s="2" t="s">
        <v>3</v>
      </c>
      <c r="E27" s="2" t="s">
        <v>492</v>
      </c>
    </row>
    <row r="28" spans="1:5">
      <c r="A28">
        <v>19646.77</v>
      </c>
      <c r="B28" t="str">
        <f>IF(A28&gt;200,"Profitable","Loss")</f>
        <v>Profitable</v>
      </c>
      <c r="D28" t="s">
        <v>80</v>
      </c>
      <c r="E28">
        <f>SUMIF(Raw_Data!D:D,Analysis!D28,Raw_Data!K:K)</f>
        <v>735330</v>
      </c>
    </row>
    <row r="29" spans="1:5">
      <c r="A29">
        <v>206.66</v>
      </c>
      <c r="B29" t="str">
        <f t="shared" ref="B29:B30" si="0">IF(A29&gt;200,"Profitable","Loss")</f>
        <v>Profitable</v>
      </c>
      <c r="D29" t="s">
        <v>39</v>
      </c>
      <c r="E29">
        <f>SUMIF(Raw_Data!D:D,Analysis!D29,Raw_Data!K:K)</f>
        <v>1664620</v>
      </c>
    </row>
    <row r="30" spans="1:5">
      <c r="A30">
        <v>-110.14</v>
      </c>
      <c r="B30" t="str">
        <f t="shared" si="0"/>
        <v>Loss</v>
      </c>
    </row>
    <row r="33" spans="1:6" ht="76.5">
      <c r="A33" s="10" t="s">
        <v>501</v>
      </c>
      <c r="D33" s="10" t="s">
        <v>502</v>
      </c>
    </row>
    <row r="34" spans="1:6">
      <c r="A34" s="2" t="s">
        <v>499</v>
      </c>
      <c r="B34" s="2" t="s">
        <v>500</v>
      </c>
      <c r="D34" s="2" t="s">
        <v>3</v>
      </c>
      <c r="E34" s="2" t="s">
        <v>488</v>
      </c>
      <c r="F34" s="2" t="s">
        <v>492</v>
      </c>
    </row>
    <row r="35" spans="1:6">
      <c r="A35">
        <v>10000</v>
      </c>
      <c r="B35" t="str" cm="1">
        <f t="array" ref="B35">_xlfn.IFS(A35&gt;9000,"High Profit",A35&gt;=5000,"Medium Profit",A35&lt;5000,"Low Profit")</f>
        <v>High Profit</v>
      </c>
      <c r="D35" t="s">
        <v>80</v>
      </c>
      <c r="E35" t="s">
        <v>18</v>
      </c>
      <c r="F35">
        <f>SUMIFS(Raw_Data!K:K,Raw_Data!D:D,Raw_Data!D15,Raw_Data!E:E,Raw_Data!E2)</f>
        <v>507180</v>
      </c>
    </row>
    <row r="36" spans="1:6">
      <c r="A36">
        <v>5000</v>
      </c>
      <c r="B36" t="str" cm="1">
        <f t="array" ref="B36">_xlfn.IFS(A36&gt;9000,"High Profit",A36&gt;=5000,"Medium Profit",A36&lt;5000,"Low Profit")</f>
        <v>Medium Profit</v>
      </c>
      <c r="D36" t="s">
        <v>25</v>
      </c>
      <c r="E36" t="s">
        <v>26</v>
      </c>
      <c r="F36">
        <f>SUMIFS(Raw_Data!K:K,Raw_Data!D:D,Raw_Data!D16,Raw_Data!E:E,Raw_Data!E3)</f>
        <v>75885</v>
      </c>
    </row>
    <row r="37" spans="1:6">
      <c r="A37">
        <v>4000</v>
      </c>
      <c r="B37" t="str" cm="1">
        <f t="array" ref="B37">_xlfn.IFS(A37&gt;9000,"High Profit",A37&gt;=5000,"Medium Profit",A37&lt;5000,"Low Profit")</f>
        <v>Low Profit</v>
      </c>
    </row>
    <row r="39" spans="1:6">
      <c r="D39" s="9" t="s">
        <v>503</v>
      </c>
    </row>
    <row r="41" spans="1:6">
      <c r="D41" s="2" t="s">
        <v>3</v>
      </c>
      <c r="E41" s="2" t="s">
        <v>504</v>
      </c>
    </row>
    <row r="42" spans="1:6">
      <c r="D42" t="s">
        <v>25</v>
      </c>
      <c r="E42">
        <f>COUNTIF(Raw_Data!D:D,Analysis!D42)</f>
        <v>21</v>
      </c>
    </row>
    <row r="43" spans="1:6">
      <c r="D43" t="s">
        <v>39</v>
      </c>
      <c r="E43">
        <f>COUNTIF(Raw_Data!D:D,Analysis!D43)</f>
        <v>23</v>
      </c>
    </row>
    <row r="44" spans="1:6">
      <c r="D44" t="s">
        <v>80</v>
      </c>
      <c r="E44">
        <f>COUNTIF(Raw_Data!D:D,Analysis!D44)</f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3CB4-88E8-4A3A-B9F7-30268EC0DDAE}">
  <dimension ref="A1:B53"/>
  <sheetViews>
    <sheetView workbookViewId="0">
      <selection activeCell="J17" sqref="J17"/>
    </sheetView>
  </sheetViews>
  <sheetFormatPr defaultRowHeight="15"/>
  <cols>
    <col min="1" max="1" width="12.140625" bestFit="1" customWidth="1"/>
    <col min="2" max="2" width="17.42578125" bestFit="1" customWidth="1"/>
    <col min="5" max="5" width="22.140625" bestFit="1" customWidth="1"/>
    <col min="6" max="6" width="16.7109375" bestFit="1" customWidth="1"/>
  </cols>
  <sheetData>
    <row r="1" spans="1:2">
      <c r="A1" t="s">
        <v>505</v>
      </c>
    </row>
    <row r="3" spans="1:2">
      <c r="A3" s="8" t="s">
        <v>3</v>
      </c>
      <c r="B3" t="s">
        <v>506</v>
      </c>
    </row>
    <row r="4" spans="1:2">
      <c r="A4" t="s">
        <v>39</v>
      </c>
      <c r="B4" s="6">
        <v>1664620</v>
      </c>
    </row>
    <row r="5" spans="1:2">
      <c r="A5" t="s">
        <v>54</v>
      </c>
      <c r="B5" s="6">
        <v>1564060</v>
      </c>
    </row>
    <row r="6" spans="1:2">
      <c r="A6" t="s">
        <v>32</v>
      </c>
      <c r="B6" s="6">
        <v>1420115</v>
      </c>
    </row>
    <row r="7" spans="1:2">
      <c r="A7" t="s">
        <v>66</v>
      </c>
      <c r="B7" s="6">
        <v>1340555</v>
      </c>
    </row>
    <row r="8" spans="1:2">
      <c r="A8" t="s">
        <v>17</v>
      </c>
      <c r="B8" s="6">
        <v>1303140</v>
      </c>
    </row>
    <row r="9" spans="1:2">
      <c r="A9" t="s">
        <v>25</v>
      </c>
      <c r="B9" s="6">
        <v>1210015</v>
      </c>
    </row>
    <row r="10" spans="1:2">
      <c r="A10" t="s">
        <v>62</v>
      </c>
      <c r="B10" s="6">
        <v>998980</v>
      </c>
    </row>
    <row r="11" spans="1:2">
      <c r="A11" t="s">
        <v>80</v>
      </c>
      <c r="B11" s="6">
        <v>735330</v>
      </c>
    </row>
    <row r="12" spans="1:2">
      <c r="A12" t="s">
        <v>58</v>
      </c>
      <c r="B12" s="6">
        <v>724605</v>
      </c>
    </row>
    <row r="13" spans="1:2">
      <c r="A13" t="s">
        <v>108</v>
      </c>
      <c r="B13" s="6">
        <v>432600</v>
      </c>
    </row>
    <row r="14" spans="1:2">
      <c r="A14" t="s">
        <v>507</v>
      </c>
      <c r="B14" s="6">
        <v>11394020</v>
      </c>
    </row>
    <row r="17" spans="1:2">
      <c r="A17" t="s">
        <v>508</v>
      </c>
    </row>
    <row r="19" spans="1:2">
      <c r="A19" s="8" t="s">
        <v>5</v>
      </c>
      <c r="B19" t="s">
        <v>509</v>
      </c>
    </row>
    <row r="20" spans="1:2">
      <c r="A20" t="s">
        <v>27</v>
      </c>
      <c r="B20" s="7">
        <v>828751.19000000006</v>
      </c>
    </row>
    <row r="21" spans="1:2">
      <c r="A21" t="s">
        <v>34</v>
      </c>
      <c r="B21" s="7">
        <v>423513.07999999996</v>
      </c>
    </row>
    <row r="22" spans="1:2">
      <c r="A22" t="s">
        <v>19</v>
      </c>
      <c r="B22" s="7">
        <v>229837.17</v>
      </c>
    </row>
    <row r="23" spans="1:2">
      <c r="A23" t="s">
        <v>48</v>
      </c>
      <c r="B23" s="7">
        <v>116910.71999999997</v>
      </c>
    </row>
    <row r="24" spans="1:2">
      <c r="A24" t="s">
        <v>94</v>
      </c>
      <c r="B24" s="7">
        <v>58826.349999999991</v>
      </c>
    </row>
    <row r="25" spans="1:2">
      <c r="A25" t="s">
        <v>81</v>
      </c>
      <c r="B25" s="7">
        <v>47017.170000000013</v>
      </c>
    </row>
    <row r="26" spans="1:2">
      <c r="A26" t="s">
        <v>40</v>
      </c>
      <c r="B26" s="7">
        <v>29543.03</v>
      </c>
    </row>
    <row r="27" spans="1:2">
      <c r="A27" t="s">
        <v>67</v>
      </c>
      <c r="B27" s="7">
        <v>12559.990000000002</v>
      </c>
    </row>
    <row r="28" spans="1:2">
      <c r="A28" t="s">
        <v>507</v>
      </c>
      <c r="B28" s="7">
        <v>1746958.7000000002</v>
      </c>
    </row>
    <row r="31" spans="1:2">
      <c r="A31" t="s">
        <v>510</v>
      </c>
    </row>
    <row r="33" spans="1:2">
      <c r="A33" s="8" t="s">
        <v>3</v>
      </c>
      <c r="B33" t="s">
        <v>509</v>
      </c>
    </row>
    <row r="34" spans="1:2">
      <c r="A34" t="s">
        <v>39</v>
      </c>
      <c r="B34" s="7">
        <v>263975.17000000004</v>
      </c>
    </row>
    <row r="35" spans="1:2">
      <c r="A35" t="s">
        <v>54</v>
      </c>
      <c r="B35" s="7">
        <v>255756.68000000005</v>
      </c>
    </row>
    <row r="36" spans="1:2">
      <c r="A36" t="s">
        <v>25</v>
      </c>
      <c r="B36" s="7">
        <v>239726.07999999999</v>
      </c>
    </row>
    <row r="37" spans="1:2">
      <c r="A37" t="s">
        <v>32</v>
      </c>
      <c r="B37" s="7">
        <v>230110.46</v>
      </c>
    </row>
    <row r="38" spans="1:2">
      <c r="A38" t="s">
        <v>17</v>
      </c>
      <c r="B38" s="7">
        <v>194672.43</v>
      </c>
    </row>
    <row r="39" spans="1:2">
      <c r="A39" t="s">
        <v>66</v>
      </c>
      <c r="B39" s="7">
        <v>191388.01</v>
      </c>
    </row>
    <row r="40" spans="1:2">
      <c r="A40" t="s">
        <v>62</v>
      </c>
      <c r="B40" s="7">
        <v>143025.75000000003</v>
      </c>
    </row>
    <row r="41" spans="1:2">
      <c r="A41" t="s">
        <v>80</v>
      </c>
      <c r="B41" s="7">
        <v>94133.209999999992</v>
      </c>
    </row>
    <row r="42" spans="1:2">
      <c r="A42" t="s">
        <v>58</v>
      </c>
      <c r="B42" s="7">
        <v>81378.659999999989</v>
      </c>
    </row>
    <row r="43" spans="1:2">
      <c r="A43" t="s">
        <v>108</v>
      </c>
      <c r="B43" s="7">
        <v>52792.249999999993</v>
      </c>
    </row>
    <row r="44" spans="1:2">
      <c r="A44" t="s">
        <v>507</v>
      </c>
      <c r="B44" s="7">
        <v>1746958.7000000002</v>
      </c>
    </row>
    <row r="47" spans="1:2">
      <c r="A47" t="s">
        <v>511</v>
      </c>
    </row>
    <row r="49" spans="1:2">
      <c r="A49" s="8" t="s">
        <v>4</v>
      </c>
      <c r="B49" t="s">
        <v>506</v>
      </c>
    </row>
    <row r="50" spans="1:2">
      <c r="A50" t="s">
        <v>26</v>
      </c>
      <c r="B50" s="6">
        <v>2136655</v>
      </c>
    </row>
    <row r="51" spans="1:2">
      <c r="A51" t="s">
        <v>33</v>
      </c>
      <c r="B51" s="6">
        <v>3888325</v>
      </c>
    </row>
    <row r="52" spans="1:2">
      <c r="A52" t="s">
        <v>18</v>
      </c>
      <c r="B52" s="6">
        <v>5369040</v>
      </c>
    </row>
    <row r="53" spans="1:2">
      <c r="A53" t="s">
        <v>507</v>
      </c>
      <c r="B53" s="6">
        <v>11394020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8EA6-CA5F-4DEA-821D-6D26F62A3864}">
  <dimension ref="B2:D9"/>
  <sheetViews>
    <sheetView workbookViewId="0">
      <selection activeCell="F3" sqref="F3"/>
    </sheetView>
  </sheetViews>
  <sheetFormatPr defaultRowHeight="15"/>
  <cols>
    <col min="2" max="2" width="21" customWidth="1"/>
    <col min="3" max="3" width="15.7109375" customWidth="1"/>
    <col min="4" max="4" width="22.7109375" customWidth="1"/>
  </cols>
  <sheetData>
    <row r="2" spans="2:4" ht="37.5">
      <c r="B2" s="20" t="s">
        <v>512</v>
      </c>
      <c r="C2" s="20" t="s">
        <v>513</v>
      </c>
      <c r="D2" s="20" t="s">
        <v>514</v>
      </c>
    </row>
    <row r="3" spans="2:4" ht="76.5">
      <c r="B3" s="12" t="s">
        <v>515</v>
      </c>
      <c r="C3" s="11" t="s">
        <v>516</v>
      </c>
      <c r="D3" s="11" t="s">
        <v>517</v>
      </c>
    </row>
    <row r="5" spans="2:4" ht="76.5">
      <c r="B5" s="11" t="s">
        <v>518</v>
      </c>
      <c r="C5" s="11" t="s">
        <v>519</v>
      </c>
      <c r="D5" s="11" t="s">
        <v>520</v>
      </c>
    </row>
    <row r="6" spans="2:4">
      <c r="B6" s="9"/>
    </row>
    <row r="7" spans="2:4" ht="76.5">
      <c r="B7" s="11" t="s">
        <v>521</v>
      </c>
      <c r="C7" s="11" t="s">
        <v>522</v>
      </c>
      <c r="D7" s="11" t="s">
        <v>523</v>
      </c>
    </row>
    <row r="9" spans="2:4" ht="91.5">
      <c r="B9" s="11" t="s">
        <v>524</v>
      </c>
      <c r="C9" s="11" t="s">
        <v>525</v>
      </c>
      <c r="D9" s="11" t="s">
        <v>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299A-2F4F-4C3C-877F-96E7CEDB4D47}">
  <dimension ref="A1:AE178"/>
  <sheetViews>
    <sheetView showGridLines="0" topLeftCell="A28" workbookViewId="0">
      <selection activeCell="B138" sqref="B138"/>
    </sheetView>
  </sheetViews>
  <sheetFormatPr defaultRowHeight="15"/>
  <cols>
    <col min="1" max="1" width="10.85546875" customWidth="1"/>
  </cols>
  <sheetData>
    <row r="1" spans="1:31">
      <c r="A1" s="34" t="s">
        <v>527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1:3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3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7" spans="1:31" ht="26.25">
      <c r="D7" s="24" t="s">
        <v>527</v>
      </c>
    </row>
    <row r="9" spans="1:31" ht="26.25">
      <c r="D9" s="24" t="s">
        <v>528</v>
      </c>
    </row>
    <row r="14" spans="1:31" ht="15" customHeight="1">
      <c r="D14" s="35" t="s">
        <v>529</v>
      </c>
      <c r="E14" s="35"/>
      <c r="F14" s="35"/>
      <c r="H14" s="35" t="s">
        <v>530</v>
      </c>
      <c r="I14" s="35"/>
      <c r="J14" s="35"/>
      <c r="L14" s="35" t="s">
        <v>483</v>
      </c>
      <c r="M14" s="35"/>
      <c r="N14" s="35"/>
    </row>
    <row r="15" spans="1:31" ht="15" customHeight="1">
      <c r="D15" s="35"/>
      <c r="E15" s="35"/>
      <c r="F15" s="35"/>
      <c r="H15" s="35"/>
      <c r="I15" s="35"/>
      <c r="J15" s="35"/>
      <c r="L15" s="35"/>
      <c r="M15" s="35"/>
      <c r="N15" s="35"/>
    </row>
    <row r="16" spans="1:31" ht="15" customHeight="1">
      <c r="A16" s="9"/>
      <c r="D16" s="36">
        <f>SUM(Raw_Data!K:K)</f>
        <v>11394020</v>
      </c>
      <c r="E16" s="36"/>
      <c r="F16" s="36"/>
      <c r="H16" s="36">
        <f>SUM(Raw_Data!L:L)</f>
        <v>9647061.2999999952</v>
      </c>
      <c r="I16" s="36"/>
      <c r="J16" s="36"/>
      <c r="L16" s="36">
        <f>SUM(Raw_Data!M:M)</f>
        <v>1746958.6999999993</v>
      </c>
      <c r="M16" s="36"/>
      <c r="N16" s="36"/>
    </row>
    <row r="17" spans="2:14" ht="15" customHeight="1">
      <c r="D17" s="36"/>
      <c r="E17" s="36"/>
      <c r="F17" s="36"/>
      <c r="H17" s="36"/>
      <c r="I17" s="36"/>
      <c r="J17" s="36"/>
      <c r="L17" s="36"/>
      <c r="M17" s="36"/>
      <c r="N17" s="36"/>
    </row>
    <row r="20" spans="2:14">
      <c r="D20" s="35" t="s">
        <v>531</v>
      </c>
      <c r="E20" s="35"/>
      <c r="F20" s="35"/>
      <c r="H20" s="35" t="s">
        <v>484</v>
      </c>
      <c r="I20" s="35"/>
      <c r="J20" s="35"/>
      <c r="L20" s="35" t="s">
        <v>490</v>
      </c>
      <c r="M20" s="35"/>
      <c r="N20" s="35"/>
    </row>
    <row r="21" spans="2:14">
      <c r="D21" s="35"/>
      <c r="E21" s="35"/>
      <c r="F21" s="35"/>
      <c r="H21" s="35"/>
      <c r="I21" s="35"/>
      <c r="J21" s="35"/>
      <c r="L21" s="35"/>
      <c r="M21" s="35"/>
      <c r="N21" s="35"/>
    </row>
    <row r="22" spans="2:14" ht="15" customHeight="1">
      <c r="D22" s="37">
        <f>COUNTA(Raw_Data!A:A)</f>
        <v>201</v>
      </c>
      <c r="E22" s="37"/>
      <c r="F22" s="37"/>
      <c r="H22" s="37">
        <f>SUM(Raw_Data!H:H)</f>
        <v>592</v>
      </c>
      <c r="I22" s="37"/>
      <c r="J22" s="37"/>
      <c r="L22" s="38">
        <f>L16/D16</f>
        <v>0.1533224182509772</v>
      </c>
      <c r="M22" s="38"/>
      <c r="N22" s="38"/>
    </row>
    <row r="23" spans="2:14" ht="15" customHeight="1">
      <c r="D23" s="37"/>
      <c r="E23" s="37"/>
      <c r="F23" s="37"/>
      <c r="H23" s="37"/>
      <c r="I23" s="37"/>
      <c r="J23" s="37"/>
      <c r="L23" s="38"/>
      <c r="M23" s="38"/>
      <c r="N23" s="38"/>
    </row>
    <row r="24" spans="2:14">
      <c r="J24" s="23"/>
    </row>
    <row r="25" spans="2:14">
      <c r="B25" s="22"/>
    </row>
    <row r="26" spans="2:14">
      <c r="B26" s="9"/>
    </row>
    <row r="27" spans="2:14">
      <c r="B27" s="9"/>
    </row>
    <row r="28" spans="2:14">
      <c r="B28" s="9"/>
    </row>
    <row r="29" spans="2:14">
      <c r="B29" s="9"/>
    </row>
    <row r="30" spans="2:14">
      <c r="B30" s="9"/>
    </row>
    <row r="161" spans="1:3">
      <c r="A161" s="25"/>
      <c r="B161" s="26"/>
      <c r="C161" s="27"/>
    </row>
    <row r="162" spans="1:3">
      <c r="A162" s="28"/>
      <c r="B162" s="29"/>
      <c r="C162" s="30"/>
    </row>
    <row r="163" spans="1:3">
      <c r="A163" s="28"/>
      <c r="B163" s="29"/>
      <c r="C163" s="30"/>
    </row>
    <row r="164" spans="1:3">
      <c r="A164" s="28"/>
      <c r="B164" s="29"/>
      <c r="C164" s="30"/>
    </row>
    <row r="165" spans="1:3">
      <c r="A165" s="28"/>
      <c r="B165" s="29"/>
      <c r="C165" s="30"/>
    </row>
    <row r="166" spans="1:3">
      <c r="A166" s="28"/>
      <c r="B166" s="29"/>
      <c r="C166" s="30"/>
    </row>
    <row r="167" spans="1:3">
      <c r="A167" s="28"/>
      <c r="B167" s="29"/>
      <c r="C167" s="30"/>
    </row>
    <row r="168" spans="1:3">
      <c r="A168" s="28"/>
      <c r="B168" s="29"/>
      <c r="C168" s="30"/>
    </row>
    <row r="169" spans="1:3">
      <c r="A169" s="28"/>
      <c r="B169" s="29"/>
      <c r="C169" s="30"/>
    </row>
    <row r="170" spans="1:3">
      <c r="A170" s="28"/>
      <c r="B170" s="29"/>
      <c r="C170" s="30"/>
    </row>
    <row r="171" spans="1:3">
      <c r="A171" s="28"/>
      <c r="B171" s="29"/>
      <c r="C171" s="30"/>
    </row>
    <row r="172" spans="1:3">
      <c r="A172" s="28"/>
      <c r="B172" s="29"/>
      <c r="C172" s="30"/>
    </row>
    <row r="173" spans="1:3">
      <c r="A173" s="28"/>
      <c r="B173" s="29"/>
      <c r="C173" s="30"/>
    </row>
    <row r="174" spans="1:3">
      <c r="A174" s="28"/>
      <c r="B174" s="29"/>
      <c r="C174" s="30"/>
    </row>
    <row r="175" spans="1:3">
      <c r="A175" s="28"/>
      <c r="B175" s="29"/>
      <c r="C175" s="30"/>
    </row>
    <row r="176" spans="1:3">
      <c r="A176" s="28"/>
      <c r="B176" s="29"/>
      <c r="C176" s="30"/>
    </row>
    <row r="177" spans="1:3">
      <c r="A177" s="28"/>
      <c r="B177" s="29"/>
      <c r="C177" s="30"/>
    </row>
    <row r="178" spans="1:3">
      <c r="A178" s="31"/>
      <c r="B178" s="32"/>
      <c r="C178" s="33"/>
    </row>
  </sheetData>
  <mergeCells count="13">
    <mergeCell ref="D20:F21"/>
    <mergeCell ref="D22:F23"/>
    <mergeCell ref="H20:J21"/>
    <mergeCell ref="H22:J23"/>
    <mergeCell ref="L20:N21"/>
    <mergeCell ref="L22:N23"/>
    <mergeCell ref="A1:T4"/>
    <mergeCell ref="D14:F15"/>
    <mergeCell ref="D16:F17"/>
    <mergeCell ref="H14:J15"/>
    <mergeCell ref="H16:J17"/>
    <mergeCell ref="L14:N15"/>
    <mergeCell ref="L16:N17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2026-09-14T14:36:00Z</dcterms:created>
  <dcterms:modified xsi:type="dcterms:W3CDTF">2026-09-16T12:24:58Z</dcterms:modified>
  <cp:category/>
  <cp:contentStatus/>
</cp:coreProperties>
</file>